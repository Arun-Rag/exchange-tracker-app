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xchanges" sheetId="2" state="visible" r:id="rId4"/>
  </sheets>
  <definedNames>
    <definedName function="false" hidden="true" localSheetId="1" name="_xlnm._FilterDatabase" vbProcedure="false">Exchanges!$A$1:$S$115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<sst xmlns="http://schemas.openxmlformats.org/spreadsheetml/2006/main" count="1238" uniqueCount="406">
  <si>
    <t xml:space="preserve">3rd Party Exchange Tracker — Summary</t>
  </si>
  <si>
    <t xml:space="preserve">Total records</t>
  </si>
  <si>
    <t xml:space="preserve">Open orders</t>
  </si>
  <si>
    <t xml:space="preserve">Due (core owed)</t>
  </si>
  <si>
    <t xml:space="preserve">Closed orders</t>
  </si>
  <si>
    <t xml:space="preserve">Failed nozzles to claim</t>
  </si>
  <si>
    <t xml:space="preserve">Total sales value (parsed, USD)</t>
  </si>
  <si>
    <t xml:space="preserve">Open the Exchanges tab for the full list. Use the column filters to sort by Customer, Status, Repair Shop, etc.</t>
  </si>
  <si>
    <t xml:space="preserve">ID</t>
  </si>
  <si>
    <t xml:space="preserve">Date</t>
  </si>
  <si>
    <t xml:space="preserve">Customer</t>
  </si>
  <si>
    <t xml:space="preserve">Sold P/N</t>
  </si>
  <si>
    <t xml:space="preserve">Sold S/N</t>
  </si>
  <si>
    <t xml:space="preserve">Sales Order No</t>
  </si>
  <si>
    <t xml:space="preserve">Sales Price</t>
  </si>
  <si>
    <t xml:space="preserve">Currency</t>
  </si>
  <si>
    <t xml:space="preserve">Core P/N</t>
  </si>
  <si>
    <t xml:space="preserve">Core S/N</t>
  </si>
  <si>
    <t xml:space="preserve">Exchange Status</t>
  </si>
  <si>
    <t xml:space="preserve">RO Number</t>
  </si>
  <si>
    <t xml:space="preserve">Repair Shop</t>
  </si>
  <si>
    <t xml:space="preserve">Assy Status</t>
  </si>
  <si>
    <t xml:space="preserve">Repair Quote Price</t>
  </si>
  <si>
    <t xml:space="preserve">Failed Nozzles</t>
  </si>
  <si>
    <t xml:space="preserve">Ownership</t>
  </si>
  <si>
    <t xml:space="preserve">Comment</t>
  </si>
  <si>
    <t xml:space="preserve">Order Status</t>
  </si>
  <si>
    <t xml:space="preserve">08/13/24</t>
  </si>
  <si>
    <t xml:space="preserve">Advantage</t>
  </si>
  <si>
    <t xml:space="preserve">3244858-24</t>
  </si>
  <si>
    <t xml:space="preserve">B70014N</t>
  </si>
  <si>
    <t xml:space="preserve">RO Assigned</t>
  </si>
  <si>
    <t xml:space="preserve">RO659637</t>
  </si>
  <si>
    <t xml:space="preserve">Action Aero</t>
  </si>
  <si>
    <t xml:space="preserve">Amapola</t>
  </si>
  <si>
    <t xml:space="preserve">Closed</t>
  </si>
  <si>
    <t xml:space="preserve">3244858-21</t>
  </si>
  <si>
    <t xml:space="preserve">B15404V</t>
  </si>
  <si>
    <t xml:space="preserve">RO659638</t>
  </si>
  <si>
    <t xml:space="preserve">597311</t>
  </si>
  <si>
    <t xml:space="preserve">1RJ01465</t>
  </si>
  <si>
    <t xml:space="preserve">SO52923</t>
  </si>
  <si>
    <t xml:space="preserve">RO660263</t>
  </si>
  <si>
    <t xml:space="preserve">ASSY COMPLETED from Advantage</t>
  </si>
  <si>
    <t xml:space="preserve">618A4285</t>
  </si>
  <si>
    <t xml:space="preserve">RO660264</t>
  </si>
  <si>
    <t xml:space="preserve">10J00287</t>
  </si>
  <si>
    <t xml:space="preserve">RO660279</t>
  </si>
  <si>
    <t xml:space="preserve">618A8107</t>
  </si>
  <si>
    <t xml:space="preserve">Received - awaiting RO</t>
  </si>
  <si>
    <t xml:space="preserve">FLOW DEVIDER MISSING from Advantage</t>
  </si>
  <si>
    <t xml:space="preserve">5009982E</t>
  </si>
  <si>
    <t xml:space="preserve">5256</t>
  </si>
  <si>
    <t xml:space="preserve">SO52914</t>
  </si>
  <si>
    <t xml:space="preserve">USD</t>
  </si>
  <si>
    <t xml:space="preserve">RO659977</t>
  </si>
  <si>
    <t xml:space="preserve">Skyward Express</t>
  </si>
  <si>
    <t xml:space="preserve">02/27/25</t>
  </si>
  <si>
    <t xml:space="preserve">BusyBee</t>
  </si>
  <si>
    <t xml:space="preserve">3244873-5</t>
  </si>
  <si>
    <t xml:space="preserve">B15590V</t>
  </si>
  <si>
    <t xml:space="preserve">RO660979</t>
  </si>
  <si>
    <t xml:space="preserve">Faulty Throttle shaft- $21 k</t>
  </si>
  <si>
    <t xml:space="preserve">Open</t>
  </si>
  <si>
    <t xml:space="preserve">04/25/25</t>
  </si>
  <si>
    <t xml:space="preserve">737852A</t>
  </si>
  <si>
    <t xml:space="preserve">CSD0192GEN0205</t>
  </si>
  <si>
    <t xml:space="preserve">RO660040</t>
  </si>
  <si>
    <t xml:space="preserve">Aeg</t>
  </si>
  <si>
    <t xml:space="preserve">APPROVED</t>
  </si>
  <si>
    <t xml:space="preserve">Thomas Carlborg</t>
  </si>
  <si>
    <t xml:space="preserve">RO660191</t>
  </si>
  <si>
    <t xml:space="preserve">I-Fly</t>
  </si>
  <si>
    <t xml:space="preserve">5009980E</t>
  </si>
  <si>
    <t xml:space="preserve">1199</t>
  </si>
  <si>
    <t xml:space="preserve">SO52902</t>
  </si>
  <si>
    <t xml:space="preserve">5009980D</t>
  </si>
  <si>
    <t xml:space="preserve">1036X</t>
  </si>
  <si>
    <t xml:space="preserve">RO660278</t>
  </si>
  <si>
    <t xml:space="preserve">CSD0611GEN0607</t>
  </si>
  <si>
    <t xml:space="preserve">SO52881</t>
  </si>
  <si>
    <t xml:space="preserve">73785A</t>
  </si>
  <si>
    <t xml:space="preserve">CSD0232GEN0241</t>
  </si>
  <si>
    <t xml:space="preserve">RO660272</t>
  </si>
  <si>
    <t xml:space="preserve">B15421T</t>
  </si>
  <si>
    <t xml:space="preserve">B15303V</t>
  </si>
  <si>
    <t xml:space="preserve">RO660890</t>
  </si>
  <si>
    <t xml:space="preserve">PO31182</t>
  </si>
  <si>
    <t xml:space="preserve">1104</t>
  </si>
  <si>
    <t xml:space="preserve">RO660393</t>
  </si>
  <si>
    <t xml:space="preserve">05/29/24</t>
  </si>
  <si>
    <t xml:space="preserve">Jetways</t>
  </si>
  <si>
    <t xml:space="preserve">CSD0407GEN0308</t>
  </si>
  <si>
    <t xml:space="preserve">RO660224</t>
  </si>
  <si>
    <t xml:space="preserve">DONOR (BER)</t>
  </si>
  <si>
    <t xml:space="preserve">CSD0146GEN0336</t>
  </si>
  <si>
    <t xml:space="preserve">RO660225</t>
  </si>
  <si>
    <t xml:space="preserve">10/03/24</t>
  </si>
  <si>
    <t xml:space="preserve">42011</t>
  </si>
  <si>
    <t xml:space="preserve">BI35</t>
  </si>
  <si>
    <t xml:space="preserve">RO660510</t>
  </si>
  <si>
    <t xml:space="preserve">BER</t>
  </si>
  <si>
    <t xml:space="preserve">AH-51630</t>
  </si>
  <si>
    <t xml:space="preserve">RO660511</t>
  </si>
  <si>
    <t xml:space="preserve">10/10/24</t>
  </si>
  <si>
    <t xml:space="preserve">1641</t>
  </si>
  <si>
    <t xml:space="preserve">RO660392</t>
  </si>
  <si>
    <t xml:space="preserve">04/08/25</t>
  </si>
  <si>
    <t xml:space="preserve">CSD0358GEN0561</t>
  </si>
  <si>
    <t xml:space="preserve">RO660404</t>
  </si>
  <si>
    <t xml:space="preserve">12 qty of piston replaced</t>
  </si>
  <si>
    <t xml:space="preserve">CSD0206GEN0146</t>
  </si>
  <si>
    <t xml:space="preserve">SO52980</t>
  </si>
  <si>
    <t xml:space="preserve">RO660405</t>
  </si>
  <si>
    <t xml:space="preserve">Aerojet</t>
  </si>
  <si>
    <t xml:space="preserve">2 qty of piston required</t>
  </si>
  <si>
    <t xml:space="preserve">CSD0308GEN0311</t>
  </si>
  <si>
    <t xml:space="preserve">RO660406</t>
  </si>
  <si>
    <t xml:space="preserve">CSD0561GEN0431</t>
  </si>
  <si>
    <t xml:space="preserve">RO660407</t>
  </si>
  <si>
    <t xml:space="preserve">CSD0572GEN0575</t>
  </si>
  <si>
    <t xml:space="preserve">RO660408</t>
  </si>
  <si>
    <t xml:space="preserve">18 qty of piston replaced</t>
  </si>
  <si>
    <t xml:space="preserve">5009982D</t>
  </si>
  <si>
    <t xml:space="preserve">5085</t>
  </si>
  <si>
    <t xml:space="preserve">RO660135</t>
  </si>
  <si>
    <t xml:space="preserve">3244873-7</t>
  </si>
  <si>
    <t xml:space="preserve">B70041N</t>
  </si>
  <si>
    <t xml:space="preserve">RO659643</t>
  </si>
  <si>
    <t xml:space="preserve">05/13/24</t>
  </si>
  <si>
    <t xml:space="preserve">B15321V</t>
  </si>
  <si>
    <t xml:space="preserve">RO660140</t>
  </si>
  <si>
    <t xml:space="preserve">3244858-22</t>
  </si>
  <si>
    <t xml:space="preserve">B15354N</t>
  </si>
  <si>
    <t xml:space="preserve">RO660142</t>
  </si>
  <si>
    <t xml:space="preserve">B15604V</t>
  </si>
  <si>
    <t xml:space="preserve">RO660137</t>
  </si>
  <si>
    <t xml:space="preserve">RO659641</t>
  </si>
  <si>
    <t xml:space="preserve">3244858-26</t>
  </si>
  <si>
    <t xml:space="preserve">B15191V</t>
  </si>
  <si>
    <t xml:space="preserve">RO659642</t>
  </si>
  <si>
    <t xml:space="preserve">Tanzania</t>
  </si>
  <si>
    <t xml:space="preserve">SO52933</t>
  </si>
  <si>
    <t xml:space="preserve">B15369V</t>
  </si>
  <si>
    <t xml:space="preserve">RO660107</t>
  </si>
  <si>
    <t xml:space="preserve">STEPPER MOTOR FROM DONOR 660220.</t>
  </si>
  <si>
    <t xml:space="preserve">5007996-1</t>
  </si>
  <si>
    <t xml:space="preserve">MAY90-0636</t>
  </si>
  <si>
    <t xml:space="preserve">SO52922</t>
  </si>
  <si>
    <t xml:space="preserve">RO660122</t>
  </si>
  <si>
    <t xml:space="preserve">Baltic</t>
  </si>
  <si>
    <t xml:space="preserve">APR91-0777</t>
  </si>
  <si>
    <t xml:space="preserve">RO660123</t>
  </si>
  <si>
    <t xml:space="preserve">APR91-0776</t>
  </si>
  <si>
    <t xml:space="preserve">RO660124</t>
  </si>
  <si>
    <t xml:space="preserve">CSD0623GEN0680</t>
  </si>
  <si>
    <t xml:space="preserve">RO660092</t>
  </si>
  <si>
    <t xml:space="preserve">Sky Cap</t>
  </si>
  <si>
    <t xml:space="preserve">1XS10467</t>
  </si>
  <si>
    <t xml:space="preserve">SO52911</t>
  </si>
  <si>
    <t xml:space="preserve">1MA08524</t>
  </si>
  <si>
    <t xml:space="preserve">RO660574</t>
  </si>
  <si>
    <t xml:space="preserve">03/25/25</t>
  </si>
  <si>
    <t xml:space="preserve">G0346</t>
  </si>
  <si>
    <t xml:space="preserve">SO52940</t>
  </si>
  <si>
    <t xml:space="preserve">1YJ00688</t>
  </si>
  <si>
    <t xml:space="preserve">RO660904</t>
  </si>
  <si>
    <t xml:space="preserve">Complete Kit</t>
  </si>
  <si>
    <t xml:space="preserve">1966</t>
  </si>
  <si>
    <t xml:space="preserve">PHV0119</t>
  </si>
  <si>
    <t xml:space="preserve">RO660908</t>
  </si>
  <si>
    <t xml:space="preserve">Kit without Flow Devider + 1 N FAIL</t>
  </si>
  <si>
    <t xml:space="preserve">Aerosum</t>
  </si>
  <si>
    <t xml:space="preserve">DL49</t>
  </si>
  <si>
    <t xml:space="preserve">SO52941</t>
  </si>
  <si>
    <t xml:space="preserve">AQ32</t>
  </si>
  <si>
    <t xml:space="preserve">RO660852</t>
  </si>
  <si>
    <t xml:space="preserve">AB25</t>
  </si>
  <si>
    <t xml:space="preserve">SO52936</t>
  </si>
  <si>
    <t xml:space="preserve">FH40</t>
  </si>
  <si>
    <t xml:space="preserve">RO660853</t>
  </si>
  <si>
    <t xml:space="preserve">666000143</t>
  </si>
  <si>
    <t xml:space="preserve">1397</t>
  </si>
  <si>
    <t xml:space="preserve">SO52927</t>
  </si>
  <si>
    <t xml:space="preserve">83-88</t>
  </si>
  <si>
    <t xml:space="preserve">RO660855</t>
  </si>
  <si>
    <t xml:space="preserve">02/25/25</t>
  </si>
  <si>
    <t xml:space="preserve">CC&amp;Sons</t>
  </si>
  <si>
    <t xml:space="preserve">PHM0140</t>
  </si>
  <si>
    <t xml:space="preserve">SO52954</t>
  </si>
  <si>
    <t xml:space="preserve">1XJ00107</t>
  </si>
  <si>
    <t xml:space="preserve">RO660909</t>
  </si>
  <si>
    <t xml:space="preserve">02/05/25</t>
  </si>
  <si>
    <t xml:space="preserve">G0963</t>
  </si>
  <si>
    <t xml:space="preserve">1RV07547</t>
  </si>
  <si>
    <t xml:space="preserve">RO660910</t>
  </si>
  <si>
    <t xml:space="preserve">Inhouse</t>
  </si>
  <si>
    <t xml:space="preserve">B15441V</t>
  </si>
  <si>
    <t xml:space="preserve">RO660899</t>
  </si>
  <si>
    <t xml:space="preserve">11/13/24</t>
  </si>
  <si>
    <t xml:space="preserve">791809-4-004</t>
  </si>
  <si>
    <t xml:space="preserve">86112247</t>
  </si>
  <si>
    <t xml:space="preserve">RO660566</t>
  </si>
  <si>
    <t xml:space="preserve">Collin</t>
  </si>
  <si>
    <t xml:space="preserve">10/30/24</t>
  </si>
  <si>
    <t xml:space="preserve">809575-2-004</t>
  </si>
  <si>
    <t xml:space="preserve">0950-151</t>
  </si>
  <si>
    <t xml:space="preserve">RO660603</t>
  </si>
  <si>
    <t xml:space="preserve">170BC101-3</t>
  </si>
  <si>
    <t xml:space="preserve">593</t>
  </si>
  <si>
    <t xml:space="preserve">SO52967</t>
  </si>
  <si>
    <t xml:space="preserve">291</t>
  </si>
  <si>
    <t xml:space="preserve">Exchange Received</t>
  </si>
  <si>
    <t xml:space="preserve">6607-1-87A</t>
  </si>
  <si>
    <t xml:space="preserve">X72544X</t>
  </si>
  <si>
    <t xml:space="preserve">Waiting for Exchange Unit</t>
  </si>
  <si>
    <t xml:space="preserve">Due</t>
  </si>
  <si>
    <t xml:space="preserve">645110-1</t>
  </si>
  <si>
    <t xml:space="preserve">125-138</t>
  </si>
  <si>
    <t xml:space="preserve">04/28/25</t>
  </si>
  <si>
    <t xml:space="preserve">Newworld Choices</t>
  </si>
  <si>
    <t xml:space="preserve">1C27-5</t>
  </si>
  <si>
    <t xml:space="preserve">10AE-169</t>
  </si>
  <si>
    <t xml:space="preserve">SO52969</t>
  </si>
  <si>
    <t xml:space="preserve">09/04/25</t>
  </si>
  <si>
    <t xml:space="preserve">785804-3</t>
  </si>
  <si>
    <t xml:space="preserve">SO52993</t>
  </si>
  <si>
    <t xml:space="preserve">SLZ7011A</t>
  </si>
  <si>
    <t xml:space="preserve">HW1333C</t>
  </si>
  <si>
    <t xml:space="preserve">071-01503-0201</t>
  </si>
  <si>
    <t xml:space="preserve">22553</t>
  </si>
  <si>
    <t xml:space="preserve">08/14/25</t>
  </si>
  <si>
    <t xml:space="preserve">8095351-1004</t>
  </si>
  <si>
    <t xml:space="preserve">3103</t>
  </si>
  <si>
    <t xml:space="preserve">SO52984</t>
  </si>
  <si>
    <t xml:space="preserve">05/09/25</t>
  </si>
  <si>
    <t xml:space="preserve">Kush</t>
  </si>
  <si>
    <t xml:space="preserve">785720-7</t>
  </si>
  <si>
    <t xml:space="preserve">910649</t>
  </si>
  <si>
    <t xml:space="preserve">RO661212</t>
  </si>
  <si>
    <t xml:space="preserve">Global</t>
  </si>
  <si>
    <t xml:space="preserve">shop price 26476 $</t>
  </si>
  <si>
    <t xml:space="preserve">06/03/25</t>
  </si>
  <si>
    <t xml:space="preserve">0532-0534</t>
  </si>
  <si>
    <t xml:space="preserve">SO52974</t>
  </si>
  <si>
    <t xml:space="preserve">07/25/25</t>
  </si>
  <si>
    <t xml:space="preserve">CSD0485GEN0489</t>
  </si>
  <si>
    <t xml:space="preserve">RO661513</t>
  </si>
  <si>
    <t xml:space="preserve">06/05/25</t>
  </si>
  <si>
    <t xml:space="preserve">MAY90-0634</t>
  </si>
  <si>
    <t xml:space="preserve">RO661274</t>
  </si>
  <si>
    <t xml:space="preserve">OCT96-1239</t>
  </si>
  <si>
    <t xml:space="preserve">RO661272</t>
  </si>
  <si>
    <t xml:space="preserve">05/14/25</t>
  </si>
  <si>
    <t xml:space="preserve">202</t>
  </si>
  <si>
    <t xml:space="preserve">SO52972</t>
  </si>
  <si>
    <t xml:space="preserve">NOV99-1270</t>
  </si>
  <si>
    <t xml:space="preserve">RO661270</t>
  </si>
  <si>
    <t xml:space="preserve">06/02/25</t>
  </si>
  <si>
    <t xml:space="preserve">1VR00126</t>
  </si>
  <si>
    <t xml:space="preserve">RO661252</t>
  </si>
  <si>
    <t xml:space="preserve">5 NOZZLE + F.D FAIL</t>
  </si>
  <si>
    <t xml:space="preserve">WITHOUT F.D</t>
  </si>
  <si>
    <t xml:space="preserve">05/13/25</t>
  </si>
  <si>
    <t xml:space="preserve">3244873-6</t>
  </si>
  <si>
    <t xml:space="preserve">B15591V</t>
  </si>
  <si>
    <t xml:space="preserve">RO661223</t>
  </si>
  <si>
    <t xml:space="preserve">Shop price 16104.70 $</t>
  </si>
  <si>
    <t xml:space="preserve">881120</t>
  </si>
  <si>
    <t xml:space="preserve">RO661214</t>
  </si>
  <si>
    <t xml:space="preserve">901035</t>
  </si>
  <si>
    <t xml:space="preserve">RO661213</t>
  </si>
  <si>
    <t xml:space="preserve">shop price 25054 $</t>
  </si>
  <si>
    <t xml:space="preserve">04/29/25</t>
  </si>
  <si>
    <t xml:space="preserve">1043</t>
  </si>
  <si>
    <t xml:space="preserve">SO22970</t>
  </si>
  <si>
    <t xml:space="preserve">CSD0456GEN0471</t>
  </si>
  <si>
    <t xml:space="preserve">RO661208</t>
  </si>
  <si>
    <t xml:space="preserve">shop price 53839 $</t>
  </si>
  <si>
    <t xml:space="preserve">1C27-5B</t>
  </si>
  <si>
    <t xml:space="preserve">9AG105</t>
  </si>
  <si>
    <t xml:space="preserve">7008470-912</t>
  </si>
  <si>
    <t xml:space="preserve">89020450</t>
  </si>
  <si>
    <t xml:space="preserve">1TJ03897</t>
  </si>
  <si>
    <t xml:space="preserve">1AEA0932</t>
  </si>
  <si>
    <t xml:space="preserve">RO661251</t>
  </si>
  <si>
    <t xml:space="preserve">2 N FAIL+ W.O  FD</t>
  </si>
  <si>
    <t xml:space="preserve">waiting for EX FD from Busy bee</t>
  </si>
  <si>
    <t xml:space="preserve">2PH00221</t>
  </si>
  <si>
    <t xml:space="preserve">G0983</t>
  </si>
  <si>
    <t xml:space="preserve">RO661250</t>
  </si>
  <si>
    <t xml:space="preserve">661002011</t>
  </si>
  <si>
    <t xml:space="preserve">DRG1612-91</t>
  </si>
  <si>
    <t xml:space="preserve">RO661276</t>
  </si>
  <si>
    <t xml:space="preserve">Vse</t>
  </si>
  <si>
    <t xml:space="preserve">solinoid is Ok</t>
  </si>
  <si>
    <t xml:space="preserve">09/08/25</t>
  </si>
  <si>
    <t xml:space="preserve">066-50001-3404</t>
  </si>
  <si>
    <t xml:space="preserve">8651</t>
  </si>
  <si>
    <t xml:space="preserve">457400GB1901</t>
  </si>
  <si>
    <t xml:space="preserve">457400021601</t>
  </si>
  <si>
    <t xml:space="preserve">EADFI8317-411</t>
  </si>
  <si>
    <t xml:space="preserve">863016</t>
  </si>
  <si>
    <t xml:space="preserve">08/27/25</t>
  </si>
  <si>
    <t xml:space="preserve">SO52994</t>
  </si>
  <si>
    <t xml:space="preserve">CSD0152GEN0155</t>
  </si>
  <si>
    <t xml:space="preserve">RO661514</t>
  </si>
  <si>
    <t xml:space="preserve">05/16/25</t>
  </si>
  <si>
    <t xml:space="preserve">5008269H</t>
  </si>
  <si>
    <t xml:space="preserve">2011</t>
  </si>
  <si>
    <t xml:space="preserve">RO661225</t>
  </si>
  <si>
    <t xml:space="preserve">DY57</t>
  </si>
  <si>
    <t xml:space="preserve">RO661226</t>
  </si>
  <si>
    <t xml:space="preserve">01/19/25</t>
  </si>
  <si>
    <t xml:space="preserve">10R03317</t>
  </si>
  <si>
    <t xml:space="preserve">RO661542</t>
  </si>
  <si>
    <t xml:space="preserve">09/26/25</t>
  </si>
  <si>
    <t xml:space="preserve">1321</t>
  </si>
  <si>
    <t xml:space="preserve">SO52997</t>
  </si>
  <si>
    <t xml:space="preserve">1280</t>
  </si>
  <si>
    <t xml:space="preserve">07/31/25</t>
  </si>
  <si>
    <t xml:space="preserve">7013788-807</t>
  </si>
  <si>
    <t xml:space="preserve">93070588</t>
  </si>
  <si>
    <t xml:space="preserve">SO52981</t>
  </si>
  <si>
    <t xml:space="preserve">02/12/26</t>
  </si>
  <si>
    <t xml:space="preserve">CSD272GEN0272</t>
  </si>
  <si>
    <t xml:space="preserve">SO53032</t>
  </si>
  <si>
    <t xml:space="preserve">CSD0411GEN0413</t>
  </si>
  <si>
    <t xml:space="preserve">08/26/25</t>
  </si>
  <si>
    <t xml:space="preserve">Orion</t>
  </si>
  <si>
    <t xml:space="preserve">1495</t>
  </si>
  <si>
    <t xml:space="preserve">SO52990</t>
  </si>
  <si>
    <t xml:space="preserve">1113</t>
  </si>
  <si>
    <t xml:space="preserve">5192</t>
  </si>
  <si>
    <t xml:space="preserve">2187</t>
  </si>
  <si>
    <t xml:space="preserve">09/23/25</t>
  </si>
  <si>
    <t xml:space="preserve">DL29</t>
  </si>
  <si>
    <t xml:space="preserve">SO52995</t>
  </si>
  <si>
    <t xml:space="preserve">AW455  &amp;   AW457</t>
  </si>
  <si>
    <t xml:space="preserve">900197</t>
  </si>
  <si>
    <t xml:space="preserve">891227</t>
  </si>
  <si>
    <t xml:space="preserve">SO52989</t>
  </si>
  <si>
    <t xml:space="preserve">11/06/25</t>
  </si>
  <si>
    <t xml:space="preserve">2229765-2-A</t>
  </si>
  <si>
    <t xml:space="preserve">055</t>
  </si>
  <si>
    <t xml:space="preserve">SO53009</t>
  </si>
  <si>
    <t xml:space="preserve">185</t>
  </si>
  <si>
    <t xml:space="preserve">11/05/25</t>
  </si>
  <si>
    <t xml:space="preserve">89115603</t>
  </si>
  <si>
    <t xml:space="preserve">SO53007</t>
  </si>
  <si>
    <t xml:space="preserve">02/18/25</t>
  </si>
  <si>
    <t xml:space="preserve">8812</t>
  </si>
  <si>
    <t xml:space="preserve">SO52959</t>
  </si>
  <si>
    <t xml:space="preserve">7221</t>
  </si>
  <si>
    <t xml:space="preserve">OOOG0071</t>
  </si>
  <si>
    <t xml:space="preserve">RO661499</t>
  </si>
  <si>
    <t xml:space="preserve">10151N01T00</t>
  </si>
  <si>
    <t xml:space="preserve">129AB</t>
  </si>
  <si>
    <t xml:space="preserve">SO53005</t>
  </si>
  <si>
    <t xml:space="preserve">01/09/26</t>
  </si>
  <si>
    <t xml:space="preserve">87043356</t>
  </si>
  <si>
    <t xml:space="preserve">SO53025</t>
  </si>
  <si>
    <t xml:space="preserve">DRG7394-91</t>
  </si>
  <si>
    <t xml:space="preserve">CSD0520GEN0530</t>
  </si>
  <si>
    <t xml:space="preserve">RO661209</t>
  </si>
  <si>
    <t xml:space="preserve">shop price 24187 $</t>
  </si>
  <si>
    <t xml:space="preserve">AMAPOLA TAKEN -THEY NOT PAID</t>
  </si>
  <si>
    <t xml:space="preserve">11/29/25</t>
  </si>
  <si>
    <t xml:space="preserve">30-1951-1</t>
  </si>
  <si>
    <t xml:space="preserve">0046</t>
  </si>
  <si>
    <t xml:space="preserve">SO53014</t>
  </si>
  <si>
    <t xml:space="preserve">1909</t>
  </si>
  <si>
    <t xml:space="preserve">5117</t>
  </si>
  <si>
    <t xml:space="preserve">066-01171-3404</t>
  </si>
  <si>
    <t xml:space="preserve">30052</t>
  </si>
  <si>
    <t xml:space="preserve">7068</t>
  </si>
  <si>
    <t xml:space="preserve">SO52996</t>
  </si>
  <si>
    <t xml:space="preserve">000B0949</t>
  </si>
  <si>
    <t xml:space="preserve">10839F</t>
  </si>
  <si>
    <t xml:space="preserve">WA19517</t>
  </si>
  <si>
    <t xml:space="preserve">RO661654</t>
  </si>
  <si>
    <t xml:space="preserve">Parker</t>
  </si>
  <si>
    <t xml:space="preserve">04/09/26</t>
  </si>
  <si>
    <t xml:space="preserve">CSD0187GEN0186</t>
  </si>
  <si>
    <t xml:space="preserve">Other</t>
  </si>
  <si>
    <t xml:space="preserve">880270</t>
  </si>
  <si>
    <t xml:space="preserve">RO661616</t>
  </si>
  <si>
    <t xml:space="preserve">Allclear</t>
  </si>
  <si>
    <t xml:space="preserve">1SN02008</t>
  </si>
  <si>
    <t xml:space="preserve">10/03/25</t>
  </si>
  <si>
    <t xml:space="preserve">100-601177-002</t>
  </si>
  <si>
    <t xml:space="preserve">178</t>
  </si>
  <si>
    <t xml:space="preserve">SO53000</t>
  </si>
  <si>
    <t xml:space="preserve">11/28/25</t>
  </si>
  <si>
    <t xml:space="preserve">900193</t>
  </si>
  <si>
    <t xml:space="preserve">SO53013</t>
  </si>
  <si>
    <t xml:space="preserve">45-87</t>
  </si>
  <si>
    <t xml:space="preserve">SEL0C29EC</t>
  </si>
  <si>
    <t xml:space="preserve">647</t>
  </si>
  <si>
    <t xml:space="preserve">10181N01R00</t>
  </si>
  <si>
    <t xml:space="preserve">293</t>
  </si>
  <si>
    <t xml:space="preserve">RO661611</t>
  </si>
  <si>
    <t xml:space="preserve">Apf</t>
  </si>
  <si>
    <t xml:space="preserve">2100-4043-00</t>
  </si>
  <si>
    <t xml:space="preserve">000668902</t>
  </si>
  <si>
    <t xml:space="preserve">321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</si>
</sst>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4F8A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1769AA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B91C1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AF2F8"/>
        <bgColor rgb="FFF5F8FB"/>
      </patternFill>
    </fill>
    <fill>
      <patternFill patternType="solid">
        <fgColor rgb="FF0B4F8A"/>
        <bgColor rgb="FF1769AA"/>
      </patternFill>
    </fill>
    <fill>
      <patternFill patternType="solid">
        <fgColor rgb="FFF5F8FB"/>
        <bgColor rgb="FFEAF2F8"/>
      </patternFill>
    </fill>
    <fill>
      <patternFill patternType="solid">
        <fgColor rgb="FFDCFCE7"/>
        <bgColor rgb="FFEAF2F8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B4F8A"/>
          <bgColor rgb="FF000000"/>
        </patternFill>
      </fill>
    </dxf>
    <dxf>
      <fill>
        <patternFill patternType="solid">
          <fgColor rgb="FFF5F8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B9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EF3C7"/>
      <rgbColor rgb="FFDCFCE7"/>
      <rgbColor rgb="FF660066"/>
      <rgbColor rgb="FFFF8080"/>
      <rgbColor rgb="FF1769AA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F5F8FB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B4F8A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COUNTA(Exchanges!A2:A115)</f>
        <v>114</v>
      </c>
    </row>
    <row r="4" customFormat="false" ht="15" hidden="false" customHeight="false" outlineLevel="0" collapsed="false">
      <c r="A4" s="2" t="s">
        <v>2</v>
      </c>
      <c r="B4" s="3" t="n">
        <f aca="false">COUNTIF(Exchanges!S2:S115,"Open")</f>
        <v>25</v>
      </c>
    </row>
    <row r="5" customFormat="false" ht="15" hidden="false" customHeight="false" outlineLevel="0" collapsed="false">
      <c r="A5" s="2" t="s">
        <v>3</v>
      </c>
      <c r="B5" s="3" t="n">
        <f aca="false">COUNTIF(Exchanges!S2:S115,"Due")</f>
        <v>33</v>
      </c>
    </row>
    <row r="6" customFormat="false" ht="15" hidden="false" customHeight="false" outlineLevel="0" collapsed="false">
      <c r="A6" s="2" t="s">
        <v>4</v>
      </c>
      <c r="B6" s="3" t="n">
        <f aca="false">COUNTIF(Exchanges!S2:S115,"Closed")</f>
        <v>56</v>
      </c>
    </row>
    <row r="7" customFormat="false" ht="15" hidden="false" customHeight="false" outlineLevel="0" collapsed="false">
      <c r="A7" s="2" t="s">
        <v>5</v>
      </c>
      <c r="B7" s="3" t="n">
        <f aca="false">SUM(Exchanges!P2:P115)</f>
        <v>13</v>
      </c>
    </row>
    <row r="8" customFormat="false" ht="15" hidden="false" customHeight="false" outlineLevel="0" collapsed="false">
      <c r="A8" s="2" t="s">
        <v>6</v>
      </c>
      <c r="B8" s="4" t="n">
        <f aca="false">SUM(Exchanges!G2:G115)</f>
        <v>1244825</v>
      </c>
    </row>
    <row r="10" customFormat="false" ht="15" hidden="false" customHeight="false" outlineLevel="0" collapsed="false">
      <c r="A10" s="5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22"/>
    <col collapsed="false" customWidth="true" hidden="false" outlineLevel="0" max="15" min="15" style="0" width="13"/>
    <col collapsed="false" customWidth="true" hidden="false" outlineLevel="0" max="16" min="16" style="0" width="9"/>
    <col collapsed="false" customWidth="true" hidden="false" outlineLevel="0" max="17" min="17" style="0" width="16"/>
    <col collapsed="false" customWidth="true" hidden="false" outlineLevel="0" max="18" min="18" style="0" width="34"/>
    <col collapsed="false" customWidth="true" hidden="false" outlineLevel="0" max="19" min="19" style="0" width="11"/>
  </cols>
  <sheetData>
    <row r="1" customFormat="false" ht="30" hidden="false" customHeight="true" outlineLevel="0" collapsed="false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25</v>
      </c>
      <c r="S1" s="6" t="s">
        <v>26</v>
      </c>
    </row>
    <row r="2" customFormat="false" ht="15" hidden="false" customHeight="false" outlineLevel="0" collapsed="false">
      <c r="A2" s="7" t="n">
        <v>1</v>
      </c>
      <c r="B2" s="7" t="s">
        <v>27</v>
      </c>
      <c r="C2" s="7" t="s">
        <v>28</v>
      </c>
      <c r="D2" s="7"/>
      <c r="E2" s="7"/>
      <c r="F2" s="7"/>
      <c r="G2" s="8"/>
      <c r="H2" s="7"/>
      <c r="I2" s="7" t="s">
        <v>29</v>
      </c>
      <c r="J2" s="7" t="s">
        <v>30</v>
      </c>
      <c r="K2" s="7" t="s">
        <v>31</v>
      </c>
      <c r="L2" s="7" t="s">
        <v>32</v>
      </c>
      <c r="M2" s="7" t="s">
        <v>33</v>
      </c>
      <c r="N2" s="7"/>
      <c r="O2" s="8" t="n">
        <v>17416</v>
      </c>
      <c r="P2" s="7" t="n">
        <v>0</v>
      </c>
      <c r="Q2" s="7" t="s">
        <v>34</v>
      </c>
      <c r="R2" s="7"/>
      <c r="S2" s="9" t="s">
        <v>35</v>
      </c>
    </row>
    <row r="3" customFormat="false" ht="15" hidden="false" customHeight="false" outlineLevel="0" collapsed="false">
      <c r="A3" s="10" t="n">
        <v>2</v>
      </c>
      <c r="B3" s="10" t="s">
        <v>27</v>
      </c>
      <c r="C3" s="10" t="s">
        <v>28</v>
      </c>
      <c r="D3" s="10"/>
      <c r="E3" s="10"/>
      <c r="F3" s="10"/>
      <c r="G3" s="11"/>
      <c r="H3" s="10"/>
      <c r="I3" s="10" t="s">
        <v>36</v>
      </c>
      <c r="J3" s="10" t="s">
        <v>37</v>
      </c>
      <c r="K3" s="10" t="s">
        <v>31</v>
      </c>
      <c r="L3" s="10" t="s">
        <v>38</v>
      </c>
      <c r="M3" s="10" t="s">
        <v>33</v>
      </c>
      <c r="N3" s="10"/>
      <c r="O3" s="11" t="n">
        <v>31750</v>
      </c>
      <c r="P3" s="10" t="n">
        <v>0</v>
      </c>
      <c r="Q3" s="10" t="s">
        <v>34</v>
      </c>
      <c r="R3" s="10"/>
      <c r="S3" s="9" t="s">
        <v>35</v>
      </c>
    </row>
    <row r="4" customFormat="false" ht="23.85" hidden="false" customHeight="false" outlineLevel="0" collapsed="false">
      <c r="A4" s="7" t="n">
        <v>3</v>
      </c>
      <c r="B4" s="7" t="s">
        <v>27</v>
      </c>
      <c r="C4" s="7" t="s">
        <v>28</v>
      </c>
      <c r="D4" s="7" t="s">
        <v>39</v>
      </c>
      <c r="E4" s="7" t="s">
        <v>40</v>
      </c>
      <c r="F4" s="7" t="s">
        <v>41</v>
      </c>
      <c r="G4" s="8"/>
      <c r="H4" s="7"/>
      <c r="I4" s="7" t="s">
        <v>39</v>
      </c>
      <c r="J4" s="7" t="s">
        <v>40</v>
      </c>
      <c r="K4" s="7" t="s">
        <v>31</v>
      </c>
      <c r="L4" s="7" t="s">
        <v>42</v>
      </c>
      <c r="M4" s="7" t="s">
        <v>33</v>
      </c>
      <c r="N4" s="7" t="s">
        <v>43</v>
      </c>
      <c r="O4" s="8"/>
      <c r="P4" s="7" t="n">
        <v>1</v>
      </c>
      <c r="Q4" s="7" t="s">
        <v>34</v>
      </c>
      <c r="R4" s="7"/>
      <c r="S4" s="9" t="s">
        <v>35</v>
      </c>
    </row>
    <row r="5" customFormat="false" ht="23.85" hidden="false" customHeight="false" outlineLevel="0" collapsed="false">
      <c r="A5" s="10" t="n">
        <v>4</v>
      </c>
      <c r="B5" s="10" t="s">
        <v>27</v>
      </c>
      <c r="C5" s="10" t="s">
        <v>28</v>
      </c>
      <c r="D5" s="10"/>
      <c r="E5" s="10"/>
      <c r="F5" s="10"/>
      <c r="G5" s="11"/>
      <c r="H5" s="10"/>
      <c r="I5" s="10" t="s">
        <v>39</v>
      </c>
      <c r="J5" s="10" t="s">
        <v>44</v>
      </c>
      <c r="K5" s="10" t="s">
        <v>31</v>
      </c>
      <c r="L5" s="10" t="s">
        <v>45</v>
      </c>
      <c r="M5" s="10" t="s">
        <v>33</v>
      </c>
      <c r="N5" s="10" t="s">
        <v>43</v>
      </c>
      <c r="O5" s="11"/>
      <c r="P5" s="10" t="n">
        <v>4</v>
      </c>
      <c r="Q5" s="10" t="s">
        <v>34</v>
      </c>
      <c r="R5" s="10"/>
      <c r="S5" s="9" t="s">
        <v>35</v>
      </c>
    </row>
    <row r="6" customFormat="false" ht="23.85" hidden="false" customHeight="false" outlineLevel="0" collapsed="false">
      <c r="A6" s="7" t="n">
        <v>5</v>
      </c>
      <c r="B6" s="7" t="s">
        <v>27</v>
      </c>
      <c r="C6" s="7" t="s">
        <v>28</v>
      </c>
      <c r="D6" s="7" t="s">
        <v>39</v>
      </c>
      <c r="E6" s="7" t="s">
        <v>46</v>
      </c>
      <c r="F6" s="7" t="s">
        <v>41</v>
      </c>
      <c r="G6" s="8"/>
      <c r="H6" s="7"/>
      <c r="I6" s="7" t="s">
        <v>39</v>
      </c>
      <c r="J6" s="7" t="s">
        <v>46</v>
      </c>
      <c r="K6" s="7" t="s">
        <v>31</v>
      </c>
      <c r="L6" s="7" t="s">
        <v>47</v>
      </c>
      <c r="M6" s="7" t="s">
        <v>33</v>
      </c>
      <c r="N6" s="7" t="s">
        <v>43</v>
      </c>
      <c r="O6" s="8"/>
      <c r="P6" s="7" t="n">
        <v>1</v>
      </c>
      <c r="Q6" s="7" t="s">
        <v>34</v>
      </c>
      <c r="R6" s="7"/>
      <c r="S6" s="9" t="s">
        <v>35</v>
      </c>
    </row>
    <row r="7" customFormat="false" ht="23.85" hidden="false" customHeight="false" outlineLevel="0" collapsed="false">
      <c r="A7" s="10" t="n">
        <v>6</v>
      </c>
      <c r="B7" s="10" t="s">
        <v>27</v>
      </c>
      <c r="C7" s="10" t="s">
        <v>28</v>
      </c>
      <c r="D7" s="10"/>
      <c r="E7" s="10" t="s">
        <v>39</v>
      </c>
      <c r="F7" s="10" t="s">
        <v>48</v>
      </c>
      <c r="G7" s="11"/>
      <c r="H7" s="10"/>
      <c r="I7" s="10" t="s">
        <v>39</v>
      </c>
      <c r="J7" s="10" t="s">
        <v>48</v>
      </c>
      <c r="K7" s="10" t="s">
        <v>49</v>
      </c>
      <c r="L7" s="10"/>
      <c r="M7" s="10" t="s">
        <v>33</v>
      </c>
      <c r="N7" s="10" t="s">
        <v>50</v>
      </c>
      <c r="O7" s="11"/>
      <c r="P7" s="10" t="n">
        <v>0</v>
      </c>
      <c r="Q7" s="10"/>
      <c r="R7" s="10"/>
      <c r="S7" s="9" t="s">
        <v>35</v>
      </c>
    </row>
    <row r="8" customFormat="false" ht="15" hidden="false" customHeight="false" outlineLevel="0" collapsed="false">
      <c r="A8" s="7" t="n">
        <v>7</v>
      </c>
      <c r="B8" s="7" t="s">
        <v>27</v>
      </c>
      <c r="C8" s="7" t="s">
        <v>34</v>
      </c>
      <c r="D8" s="7" t="s">
        <v>51</v>
      </c>
      <c r="E8" s="7" t="s">
        <v>52</v>
      </c>
      <c r="F8" s="7" t="s">
        <v>53</v>
      </c>
      <c r="G8" s="8" t="n">
        <v>14700</v>
      </c>
      <c r="H8" s="7" t="s">
        <v>54</v>
      </c>
      <c r="I8" s="7" t="s">
        <v>51</v>
      </c>
      <c r="J8" s="7" t="s">
        <v>52</v>
      </c>
      <c r="K8" s="7" t="s">
        <v>31</v>
      </c>
      <c r="L8" s="7" t="s">
        <v>55</v>
      </c>
      <c r="M8" s="7" t="s">
        <v>33</v>
      </c>
      <c r="N8" s="7"/>
      <c r="O8" s="8" t="n">
        <v>375</v>
      </c>
      <c r="P8" s="7" t="n">
        <v>0</v>
      </c>
      <c r="Q8" s="7" t="s">
        <v>56</v>
      </c>
      <c r="R8" s="7"/>
      <c r="S8" s="9" t="s">
        <v>35</v>
      </c>
    </row>
    <row r="9" customFormat="false" ht="15" hidden="false" customHeight="false" outlineLevel="0" collapsed="false">
      <c r="A9" s="10" t="n">
        <v>8</v>
      </c>
      <c r="B9" s="10" t="s">
        <v>57</v>
      </c>
      <c r="C9" s="10" t="s">
        <v>58</v>
      </c>
      <c r="D9" s="10"/>
      <c r="E9" s="10"/>
      <c r="F9" s="10"/>
      <c r="G9" s="11"/>
      <c r="H9" s="10"/>
      <c r="I9" s="10" t="s">
        <v>59</v>
      </c>
      <c r="J9" s="10" t="s">
        <v>60</v>
      </c>
      <c r="K9" s="10" t="s">
        <v>31</v>
      </c>
      <c r="L9" s="10" t="s">
        <v>61</v>
      </c>
      <c r="M9" s="10" t="s">
        <v>33</v>
      </c>
      <c r="N9" s="10"/>
      <c r="O9" s="11" t="n">
        <v>31617.8</v>
      </c>
      <c r="P9" s="10" t="n">
        <v>0</v>
      </c>
      <c r="Q9" s="10" t="s">
        <v>58</v>
      </c>
      <c r="R9" s="10" t="s">
        <v>62</v>
      </c>
      <c r="S9" s="12" t="s">
        <v>63</v>
      </c>
    </row>
    <row r="10" customFormat="false" ht="23.85" hidden="false" customHeight="false" outlineLevel="0" collapsed="false">
      <c r="A10" s="7" t="n">
        <v>9</v>
      </c>
      <c r="B10" s="7" t="s">
        <v>64</v>
      </c>
      <c r="C10" s="7" t="s">
        <v>58</v>
      </c>
      <c r="D10" s="7"/>
      <c r="E10" s="7"/>
      <c r="F10" s="7"/>
      <c r="G10" s="8" t="n">
        <v>61500</v>
      </c>
      <c r="H10" s="7" t="s">
        <v>54</v>
      </c>
      <c r="I10" s="7" t="s">
        <v>65</v>
      </c>
      <c r="J10" s="7" t="s">
        <v>66</v>
      </c>
      <c r="K10" s="7" t="s">
        <v>31</v>
      </c>
      <c r="L10" s="7" t="s">
        <v>67</v>
      </c>
      <c r="M10" s="7" t="s">
        <v>68</v>
      </c>
      <c r="N10" s="7"/>
      <c r="O10" s="8" t="n">
        <v>41277</v>
      </c>
      <c r="P10" s="7" t="n">
        <v>0</v>
      </c>
      <c r="Q10" s="7" t="s">
        <v>58</v>
      </c>
      <c r="R10" s="7" t="s">
        <v>69</v>
      </c>
      <c r="S10" s="9" t="s">
        <v>35</v>
      </c>
    </row>
    <row r="11" customFormat="false" ht="15" hidden="false" customHeight="false" outlineLevel="0" collapsed="false">
      <c r="A11" s="10" t="n">
        <v>10</v>
      </c>
      <c r="B11" s="10" t="s">
        <v>64</v>
      </c>
      <c r="C11" s="10" t="s">
        <v>58</v>
      </c>
      <c r="D11" s="10"/>
      <c r="E11" s="10"/>
      <c r="F11" s="10"/>
      <c r="G11" s="11" t="n">
        <v>59500</v>
      </c>
      <c r="H11" s="10" t="s">
        <v>54</v>
      </c>
      <c r="I11" s="10" t="s">
        <v>65</v>
      </c>
      <c r="J11" s="10" t="s">
        <v>70</v>
      </c>
      <c r="K11" s="10" t="s">
        <v>31</v>
      </c>
      <c r="L11" s="10" t="s">
        <v>71</v>
      </c>
      <c r="M11" s="10" t="s">
        <v>68</v>
      </c>
      <c r="N11" s="10"/>
      <c r="O11" s="11" t="n">
        <v>39686</v>
      </c>
      <c r="P11" s="10" t="n">
        <v>0</v>
      </c>
      <c r="Q11" s="10" t="s">
        <v>58</v>
      </c>
      <c r="R11" s="10" t="s">
        <v>69</v>
      </c>
      <c r="S11" s="9" t="s">
        <v>35</v>
      </c>
    </row>
    <row r="12" customFormat="false" ht="15" hidden="false" customHeight="false" outlineLevel="0" collapsed="false">
      <c r="A12" s="7" t="n">
        <v>11</v>
      </c>
      <c r="B12" s="7" t="s">
        <v>27</v>
      </c>
      <c r="C12" s="7" t="s">
        <v>72</v>
      </c>
      <c r="D12" s="7" t="s">
        <v>73</v>
      </c>
      <c r="E12" s="7" t="s">
        <v>74</v>
      </c>
      <c r="F12" s="7" t="s">
        <v>75</v>
      </c>
      <c r="G12" s="8" t="n">
        <v>15000</v>
      </c>
      <c r="H12" s="7" t="s">
        <v>54</v>
      </c>
      <c r="I12" s="7" t="s">
        <v>76</v>
      </c>
      <c r="J12" s="7" t="s">
        <v>77</v>
      </c>
      <c r="K12" s="7" t="s">
        <v>31</v>
      </c>
      <c r="L12" s="7" t="s">
        <v>78</v>
      </c>
      <c r="M12" s="7" t="s">
        <v>33</v>
      </c>
      <c r="N12" s="7"/>
      <c r="O12" s="8"/>
      <c r="P12" s="7" t="n">
        <v>0</v>
      </c>
      <c r="Q12" s="7" t="s">
        <v>34</v>
      </c>
      <c r="R12" s="7"/>
      <c r="S12" s="9" t="s">
        <v>35</v>
      </c>
    </row>
    <row r="13" customFormat="false" ht="23.85" hidden="false" customHeight="false" outlineLevel="0" collapsed="false">
      <c r="A13" s="10" t="n">
        <v>12</v>
      </c>
      <c r="B13" s="10" t="s">
        <v>27</v>
      </c>
      <c r="C13" s="10" t="s">
        <v>72</v>
      </c>
      <c r="D13" s="10" t="s">
        <v>65</v>
      </c>
      <c r="E13" s="10" t="s">
        <v>79</v>
      </c>
      <c r="F13" s="10" t="s">
        <v>80</v>
      </c>
      <c r="G13" s="11" t="n">
        <v>45000</v>
      </c>
      <c r="H13" s="10" t="s">
        <v>54</v>
      </c>
      <c r="I13" s="10" t="s">
        <v>81</v>
      </c>
      <c r="J13" s="10" t="s">
        <v>82</v>
      </c>
      <c r="K13" s="10" t="s">
        <v>31</v>
      </c>
      <c r="L13" s="10" t="s">
        <v>83</v>
      </c>
      <c r="M13" s="10" t="s">
        <v>68</v>
      </c>
      <c r="N13" s="10"/>
      <c r="O13" s="11"/>
      <c r="P13" s="10" t="n">
        <v>0</v>
      </c>
      <c r="Q13" s="10" t="s">
        <v>34</v>
      </c>
      <c r="R13" s="10"/>
      <c r="S13" s="9" t="s">
        <v>35</v>
      </c>
    </row>
    <row r="14" customFormat="false" ht="15" hidden="false" customHeight="false" outlineLevel="0" collapsed="false">
      <c r="A14" s="7" t="n">
        <v>13</v>
      </c>
      <c r="B14" s="7" t="s">
        <v>27</v>
      </c>
      <c r="C14" s="7" t="s">
        <v>72</v>
      </c>
      <c r="D14" s="7" t="s">
        <v>29</v>
      </c>
      <c r="E14" s="7" t="s">
        <v>84</v>
      </c>
      <c r="F14" s="7" t="s">
        <v>75</v>
      </c>
      <c r="G14" s="8" t="n">
        <v>45000</v>
      </c>
      <c r="H14" s="7" t="s">
        <v>54</v>
      </c>
      <c r="I14" s="7" t="s">
        <v>29</v>
      </c>
      <c r="J14" s="7" t="s">
        <v>85</v>
      </c>
      <c r="K14" s="7" t="s">
        <v>31</v>
      </c>
      <c r="L14" s="7" t="s">
        <v>86</v>
      </c>
      <c r="M14" s="7" t="s">
        <v>33</v>
      </c>
      <c r="N14" s="7"/>
      <c r="O14" s="8"/>
      <c r="P14" s="7" t="n">
        <v>0</v>
      </c>
      <c r="Q14" s="7" t="s">
        <v>34</v>
      </c>
      <c r="R14" s="7"/>
      <c r="S14" s="9" t="s">
        <v>35</v>
      </c>
    </row>
    <row r="15" customFormat="false" ht="15" hidden="false" customHeight="false" outlineLevel="0" collapsed="false">
      <c r="A15" s="10" t="n">
        <v>14</v>
      </c>
      <c r="B15" s="10" t="s">
        <v>27</v>
      </c>
      <c r="C15" s="10" t="s">
        <v>72</v>
      </c>
      <c r="D15" s="10" t="s">
        <v>87</v>
      </c>
      <c r="E15" s="10"/>
      <c r="F15" s="10" t="s">
        <v>75</v>
      </c>
      <c r="G15" s="11"/>
      <c r="H15" s="10"/>
      <c r="I15" s="10" t="s">
        <v>76</v>
      </c>
      <c r="J15" s="10" t="s">
        <v>88</v>
      </c>
      <c r="K15" s="10" t="s">
        <v>31</v>
      </c>
      <c r="L15" s="10" t="s">
        <v>89</v>
      </c>
      <c r="M15" s="10" t="s">
        <v>33</v>
      </c>
      <c r="N15" s="10"/>
      <c r="O15" s="11" t="n">
        <v>1075</v>
      </c>
      <c r="P15" s="10" t="n">
        <v>0</v>
      </c>
      <c r="Q15" s="10" t="s">
        <v>34</v>
      </c>
      <c r="R15" s="10"/>
      <c r="S15" s="9" t="s">
        <v>35</v>
      </c>
    </row>
    <row r="16" customFormat="false" ht="15" hidden="false" customHeight="false" outlineLevel="0" collapsed="false">
      <c r="A16" s="7" t="n">
        <v>15</v>
      </c>
      <c r="B16" s="7" t="s">
        <v>27</v>
      </c>
      <c r="C16" s="7" t="s">
        <v>72</v>
      </c>
      <c r="D16" s="7" t="s">
        <v>87</v>
      </c>
      <c r="E16" s="7"/>
      <c r="F16" s="7" t="s">
        <v>75</v>
      </c>
      <c r="G16" s="8"/>
      <c r="H16" s="7"/>
      <c r="I16" s="7" t="s">
        <v>29</v>
      </c>
      <c r="J16" s="7" t="s">
        <v>85</v>
      </c>
      <c r="K16" s="7" t="s">
        <v>31</v>
      </c>
      <c r="L16" s="7" t="s">
        <v>86</v>
      </c>
      <c r="M16" s="7"/>
      <c r="N16" s="7"/>
      <c r="O16" s="8"/>
      <c r="P16" s="7" t="n">
        <v>0</v>
      </c>
      <c r="Q16" s="7" t="s">
        <v>34</v>
      </c>
      <c r="R16" s="7"/>
      <c r="S16" s="9" t="s">
        <v>35</v>
      </c>
    </row>
    <row r="17" customFormat="false" ht="23.85" hidden="false" customHeight="false" outlineLevel="0" collapsed="false">
      <c r="A17" s="10" t="n">
        <v>16</v>
      </c>
      <c r="B17" s="10" t="s">
        <v>90</v>
      </c>
      <c r="C17" s="10" t="s">
        <v>91</v>
      </c>
      <c r="D17" s="10"/>
      <c r="E17" s="10"/>
      <c r="F17" s="10"/>
      <c r="G17" s="11"/>
      <c r="H17" s="10"/>
      <c r="I17" s="10" t="s">
        <v>65</v>
      </c>
      <c r="J17" s="10" t="s">
        <v>92</v>
      </c>
      <c r="K17" s="10" t="s">
        <v>31</v>
      </c>
      <c r="L17" s="10" t="s">
        <v>93</v>
      </c>
      <c r="M17" s="10" t="s">
        <v>68</v>
      </c>
      <c r="N17" s="10"/>
      <c r="O17" s="11"/>
      <c r="P17" s="10" t="n">
        <v>0</v>
      </c>
      <c r="Q17" s="10" t="s">
        <v>91</v>
      </c>
      <c r="R17" s="10" t="s">
        <v>94</v>
      </c>
      <c r="S17" s="12" t="s">
        <v>63</v>
      </c>
    </row>
    <row r="18" customFormat="false" ht="23.85" hidden="false" customHeight="false" outlineLevel="0" collapsed="false">
      <c r="A18" s="7" t="n">
        <v>17</v>
      </c>
      <c r="B18" s="7" t="s">
        <v>90</v>
      </c>
      <c r="C18" s="7" t="s">
        <v>91</v>
      </c>
      <c r="D18" s="7"/>
      <c r="E18" s="7"/>
      <c r="F18" s="7"/>
      <c r="G18" s="8"/>
      <c r="H18" s="7"/>
      <c r="I18" s="7" t="s">
        <v>65</v>
      </c>
      <c r="J18" s="7" t="s">
        <v>95</v>
      </c>
      <c r="K18" s="7" t="s">
        <v>31</v>
      </c>
      <c r="L18" s="7" t="s">
        <v>96</v>
      </c>
      <c r="M18" s="7" t="s">
        <v>68</v>
      </c>
      <c r="N18" s="7"/>
      <c r="O18" s="8"/>
      <c r="P18" s="7" t="n">
        <v>0</v>
      </c>
      <c r="Q18" s="7" t="s">
        <v>91</v>
      </c>
      <c r="R18" s="7" t="s">
        <v>94</v>
      </c>
      <c r="S18" s="12" t="s">
        <v>63</v>
      </c>
    </row>
    <row r="19" customFormat="false" ht="15" hidden="false" customHeight="false" outlineLevel="0" collapsed="false">
      <c r="A19" s="10" t="n">
        <v>18</v>
      </c>
      <c r="B19" s="10" t="s">
        <v>97</v>
      </c>
      <c r="C19" s="10" t="s">
        <v>91</v>
      </c>
      <c r="D19" s="10" t="s">
        <v>98</v>
      </c>
      <c r="E19" s="10" t="s">
        <v>99</v>
      </c>
      <c r="F19" s="10"/>
      <c r="G19" s="11" t="n">
        <v>3500</v>
      </c>
      <c r="H19" s="10" t="s">
        <v>54</v>
      </c>
      <c r="I19" s="10" t="s">
        <v>98</v>
      </c>
      <c r="J19" s="10" t="s">
        <v>99</v>
      </c>
      <c r="K19" s="10" t="s">
        <v>31</v>
      </c>
      <c r="L19" s="10" t="s">
        <v>100</v>
      </c>
      <c r="M19" s="10" t="s">
        <v>68</v>
      </c>
      <c r="N19" s="10"/>
      <c r="O19" s="11"/>
      <c r="P19" s="10" t="n">
        <v>0</v>
      </c>
      <c r="Q19" s="10" t="s">
        <v>91</v>
      </c>
      <c r="R19" s="10" t="s">
        <v>101</v>
      </c>
      <c r="S19" s="12" t="s">
        <v>63</v>
      </c>
    </row>
    <row r="20" customFormat="false" ht="15" hidden="false" customHeight="false" outlineLevel="0" collapsed="false">
      <c r="A20" s="7" t="n">
        <v>19</v>
      </c>
      <c r="B20" s="7" t="s">
        <v>97</v>
      </c>
      <c r="C20" s="7" t="s">
        <v>91</v>
      </c>
      <c r="D20" s="7" t="s">
        <v>98</v>
      </c>
      <c r="E20" s="7" t="s">
        <v>102</v>
      </c>
      <c r="F20" s="7"/>
      <c r="G20" s="8" t="n">
        <v>11000</v>
      </c>
      <c r="H20" s="7" t="s">
        <v>54</v>
      </c>
      <c r="I20" s="7" t="s">
        <v>98</v>
      </c>
      <c r="J20" s="7" t="s">
        <v>102</v>
      </c>
      <c r="K20" s="7" t="s">
        <v>31</v>
      </c>
      <c r="L20" s="7" t="s">
        <v>103</v>
      </c>
      <c r="M20" s="7" t="s">
        <v>68</v>
      </c>
      <c r="N20" s="7"/>
      <c r="O20" s="8" t="n">
        <v>2507</v>
      </c>
      <c r="P20" s="7" t="n">
        <v>0</v>
      </c>
      <c r="Q20" s="7" t="s">
        <v>91</v>
      </c>
      <c r="R20" s="7"/>
      <c r="S20" s="12" t="s">
        <v>63</v>
      </c>
    </row>
    <row r="21" customFormat="false" ht="15" hidden="false" customHeight="false" outlineLevel="0" collapsed="false">
      <c r="A21" s="10" t="n">
        <v>20</v>
      </c>
      <c r="B21" s="10" t="s">
        <v>104</v>
      </c>
      <c r="C21" s="10" t="s">
        <v>91</v>
      </c>
      <c r="D21" s="10" t="s">
        <v>76</v>
      </c>
      <c r="E21" s="10" t="s">
        <v>105</v>
      </c>
      <c r="F21" s="10"/>
      <c r="G21" s="11" t="n">
        <v>3500</v>
      </c>
      <c r="H21" s="10" t="s">
        <v>54</v>
      </c>
      <c r="I21" s="10" t="s">
        <v>76</v>
      </c>
      <c r="J21" s="10" t="s">
        <v>105</v>
      </c>
      <c r="K21" s="10" t="s">
        <v>31</v>
      </c>
      <c r="L21" s="10" t="s">
        <v>106</v>
      </c>
      <c r="M21" s="10" t="s">
        <v>33</v>
      </c>
      <c r="N21" s="10"/>
      <c r="O21" s="11"/>
      <c r="P21" s="10" t="n">
        <v>0</v>
      </c>
      <c r="Q21" s="10" t="s">
        <v>91</v>
      </c>
      <c r="R21" s="10" t="s">
        <v>101</v>
      </c>
      <c r="S21" s="12" t="s">
        <v>63</v>
      </c>
    </row>
    <row r="22" customFormat="false" ht="23.85" hidden="false" customHeight="false" outlineLevel="0" collapsed="false">
      <c r="A22" s="7" t="n">
        <v>21</v>
      </c>
      <c r="B22" s="7" t="s">
        <v>107</v>
      </c>
      <c r="C22" s="7" t="s">
        <v>91</v>
      </c>
      <c r="D22" s="7" t="s">
        <v>65</v>
      </c>
      <c r="E22" s="7" t="s">
        <v>108</v>
      </c>
      <c r="F22" s="7"/>
      <c r="G22" s="8" t="n">
        <v>63000</v>
      </c>
      <c r="H22" s="7" t="s">
        <v>54</v>
      </c>
      <c r="I22" s="7" t="s">
        <v>65</v>
      </c>
      <c r="J22" s="7" t="s">
        <v>108</v>
      </c>
      <c r="K22" s="7" t="s">
        <v>31</v>
      </c>
      <c r="L22" s="7" t="s">
        <v>109</v>
      </c>
      <c r="M22" s="7" t="s">
        <v>68</v>
      </c>
      <c r="N22" s="7"/>
      <c r="O22" s="8" t="n">
        <v>31148</v>
      </c>
      <c r="P22" s="7" t="n">
        <v>0</v>
      </c>
      <c r="Q22" s="7" t="s">
        <v>91</v>
      </c>
      <c r="R22" s="7" t="s">
        <v>110</v>
      </c>
      <c r="S22" s="12" t="s">
        <v>63</v>
      </c>
    </row>
    <row r="23" customFormat="false" ht="23.85" hidden="false" customHeight="false" outlineLevel="0" collapsed="false">
      <c r="A23" s="10" t="n">
        <v>22</v>
      </c>
      <c r="B23" s="10" t="s">
        <v>107</v>
      </c>
      <c r="C23" s="10" t="s">
        <v>91</v>
      </c>
      <c r="D23" s="10" t="s">
        <v>65</v>
      </c>
      <c r="E23" s="10" t="s">
        <v>111</v>
      </c>
      <c r="F23" s="10" t="s">
        <v>112</v>
      </c>
      <c r="G23" s="11" t="n">
        <v>72000</v>
      </c>
      <c r="H23" s="10" t="s">
        <v>54</v>
      </c>
      <c r="I23" s="10" t="s">
        <v>65</v>
      </c>
      <c r="J23" s="10" t="s">
        <v>111</v>
      </c>
      <c r="K23" s="10" t="s">
        <v>31</v>
      </c>
      <c r="L23" s="10" t="s">
        <v>113</v>
      </c>
      <c r="M23" s="10" t="s">
        <v>68</v>
      </c>
      <c r="N23" s="10"/>
      <c r="O23" s="11" t="n">
        <v>42645</v>
      </c>
      <c r="P23" s="10" t="n">
        <v>0</v>
      </c>
      <c r="Q23" s="10" t="s">
        <v>114</v>
      </c>
      <c r="R23" s="10" t="s">
        <v>115</v>
      </c>
      <c r="S23" s="9" t="s">
        <v>35</v>
      </c>
    </row>
    <row r="24" customFormat="false" ht="23.85" hidden="false" customHeight="false" outlineLevel="0" collapsed="false">
      <c r="A24" s="7" t="n">
        <v>23</v>
      </c>
      <c r="B24" s="7" t="s">
        <v>107</v>
      </c>
      <c r="C24" s="7" t="s">
        <v>91</v>
      </c>
      <c r="D24" s="7"/>
      <c r="E24" s="7"/>
      <c r="F24" s="7"/>
      <c r="G24" s="8"/>
      <c r="H24" s="7"/>
      <c r="I24" s="7" t="s">
        <v>65</v>
      </c>
      <c r="J24" s="7" t="s">
        <v>116</v>
      </c>
      <c r="K24" s="7" t="s">
        <v>31</v>
      </c>
      <c r="L24" s="7" t="s">
        <v>117</v>
      </c>
      <c r="M24" s="7" t="s">
        <v>68</v>
      </c>
      <c r="N24" s="7"/>
      <c r="O24" s="8" t="n">
        <v>44688</v>
      </c>
      <c r="P24" s="7" t="n">
        <v>0</v>
      </c>
      <c r="Q24" s="7" t="s">
        <v>91</v>
      </c>
      <c r="R24" s="7"/>
      <c r="S24" s="12" t="s">
        <v>63</v>
      </c>
    </row>
    <row r="25" customFormat="false" ht="23.85" hidden="false" customHeight="false" outlineLevel="0" collapsed="false">
      <c r="A25" s="10" t="n">
        <v>24</v>
      </c>
      <c r="B25" s="10" t="s">
        <v>107</v>
      </c>
      <c r="C25" s="10" t="s">
        <v>91</v>
      </c>
      <c r="D25" s="10" t="s">
        <v>65</v>
      </c>
      <c r="E25" s="10" t="s">
        <v>118</v>
      </c>
      <c r="F25" s="10"/>
      <c r="G25" s="11" t="n">
        <v>67425</v>
      </c>
      <c r="H25" s="10" t="s">
        <v>54</v>
      </c>
      <c r="I25" s="10" t="s">
        <v>65</v>
      </c>
      <c r="J25" s="10" t="s">
        <v>118</v>
      </c>
      <c r="K25" s="10" t="s">
        <v>31</v>
      </c>
      <c r="L25" s="10" t="s">
        <v>119</v>
      </c>
      <c r="M25" s="10" t="s">
        <v>68</v>
      </c>
      <c r="N25" s="10"/>
      <c r="O25" s="11" t="n">
        <v>40302</v>
      </c>
      <c r="P25" s="10" t="n">
        <v>0</v>
      </c>
      <c r="Q25" s="10" t="s">
        <v>91</v>
      </c>
      <c r="R25" s="10" t="s">
        <v>115</v>
      </c>
      <c r="S25" s="12" t="s">
        <v>63</v>
      </c>
    </row>
    <row r="26" customFormat="false" ht="23.85" hidden="false" customHeight="false" outlineLevel="0" collapsed="false">
      <c r="A26" s="7" t="n">
        <v>25</v>
      </c>
      <c r="B26" s="7" t="s">
        <v>107</v>
      </c>
      <c r="C26" s="7" t="s">
        <v>91</v>
      </c>
      <c r="D26" s="7" t="s">
        <v>65</v>
      </c>
      <c r="E26" s="7" t="s">
        <v>120</v>
      </c>
      <c r="F26" s="7"/>
      <c r="G26" s="8" t="n">
        <v>68000</v>
      </c>
      <c r="H26" s="7" t="s">
        <v>54</v>
      </c>
      <c r="I26" s="7" t="s">
        <v>65</v>
      </c>
      <c r="J26" s="7" t="s">
        <v>120</v>
      </c>
      <c r="K26" s="7" t="s">
        <v>31</v>
      </c>
      <c r="L26" s="7" t="s">
        <v>121</v>
      </c>
      <c r="M26" s="7" t="s">
        <v>68</v>
      </c>
      <c r="N26" s="7"/>
      <c r="O26" s="8" t="n">
        <v>42573</v>
      </c>
      <c r="P26" s="7" t="n">
        <v>0</v>
      </c>
      <c r="Q26" s="7" t="s">
        <v>91</v>
      </c>
      <c r="R26" s="7" t="s">
        <v>122</v>
      </c>
      <c r="S26" s="12" t="s">
        <v>63</v>
      </c>
    </row>
    <row r="27" customFormat="false" ht="15" hidden="false" customHeight="false" outlineLevel="0" collapsed="false">
      <c r="A27" s="10" t="n">
        <v>26</v>
      </c>
      <c r="B27" s="10" t="s">
        <v>27</v>
      </c>
      <c r="C27" s="10" t="s">
        <v>56</v>
      </c>
      <c r="D27" s="10" t="s">
        <v>123</v>
      </c>
      <c r="E27" s="10" t="s">
        <v>124</v>
      </c>
      <c r="F27" s="10" t="s">
        <v>53</v>
      </c>
      <c r="G27" s="11" t="n">
        <v>9700</v>
      </c>
      <c r="H27" s="10" t="s">
        <v>54</v>
      </c>
      <c r="I27" s="10" t="s">
        <v>123</v>
      </c>
      <c r="J27" s="10" t="s">
        <v>124</v>
      </c>
      <c r="K27" s="10" t="s">
        <v>31</v>
      </c>
      <c r="L27" s="10" t="s">
        <v>125</v>
      </c>
      <c r="M27" s="10" t="s">
        <v>33</v>
      </c>
      <c r="N27" s="10"/>
      <c r="O27" s="11" t="n">
        <v>7224</v>
      </c>
      <c r="P27" s="10" t="n">
        <v>0</v>
      </c>
      <c r="Q27" s="10" t="s">
        <v>56</v>
      </c>
      <c r="R27" s="10"/>
      <c r="S27" s="9" t="s">
        <v>35</v>
      </c>
    </row>
    <row r="28" customFormat="false" ht="15" hidden="false" customHeight="false" outlineLevel="0" collapsed="false">
      <c r="A28" s="7" t="n">
        <v>27</v>
      </c>
      <c r="B28" s="7" t="s">
        <v>27</v>
      </c>
      <c r="C28" s="7" t="s">
        <v>56</v>
      </c>
      <c r="D28" s="7" t="s">
        <v>126</v>
      </c>
      <c r="E28" s="7" t="s">
        <v>127</v>
      </c>
      <c r="F28" s="7" t="s">
        <v>53</v>
      </c>
      <c r="G28" s="8" t="n">
        <v>29500</v>
      </c>
      <c r="H28" s="7" t="s">
        <v>54</v>
      </c>
      <c r="I28" s="7" t="s">
        <v>29</v>
      </c>
      <c r="J28" s="7" t="s">
        <v>127</v>
      </c>
      <c r="K28" s="7" t="s">
        <v>31</v>
      </c>
      <c r="L28" s="7" t="s">
        <v>128</v>
      </c>
      <c r="M28" s="7" t="s">
        <v>33</v>
      </c>
      <c r="N28" s="7"/>
      <c r="O28" s="8" t="n">
        <v>17416</v>
      </c>
      <c r="P28" s="7" t="n">
        <v>0</v>
      </c>
      <c r="Q28" s="7" t="s">
        <v>56</v>
      </c>
      <c r="R28" s="7"/>
      <c r="S28" s="9" t="s">
        <v>35</v>
      </c>
    </row>
    <row r="29" customFormat="false" ht="15" hidden="false" customHeight="false" outlineLevel="0" collapsed="false">
      <c r="A29" s="10" t="n">
        <v>28</v>
      </c>
      <c r="B29" s="10" t="s">
        <v>129</v>
      </c>
      <c r="C29" s="10" t="s">
        <v>56</v>
      </c>
      <c r="D29" s="10"/>
      <c r="E29" s="10"/>
      <c r="F29" s="10"/>
      <c r="G29" s="11"/>
      <c r="H29" s="10"/>
      <c r="I29" s="10" t="s">
        <v>36</v>
      </c>
      <c r="J29" s="10" t="s">
        <v>130</v>
      </c>
      <c r="K29" s="10" t="s">
        <v>31</v>
      </c>
      <c r="L29" s="10" t="s">
        <v>131</v>
      </c>
      <c r="M29" s="10" t="s">
        <v>33</v>
      </c>
      <c r="N29" s="10"/>
      <c r="O29" s="11"/>
      <c r="P29" s="10" t="n">
        <v>0</v>
      </c>
      <c r="Q29" s="10" t="s">
        <v>56</v>
      </c>
      <c r="R29" s="10"/>
      <c r="S29" s="12" t="s">
        <v>63</v>
      </c>
    </row>
    <row r="30" customFormat="false" ht="15" hidden="false" customHeight="false" outlineLevel="0" collapsed="false">
      <c r="A30" s="7" t="n">
        <v>29</v>
      </c>
      <c r="B30" s="7" t="s">
        <v>129</v>
      </c>
      <c r="C30" s="7" t="s">
        <v>56</v>
      </c>
      <c r="D30" s="7"/>
      <c r="E30" s="7"/>
      <c r="F30" s="7"/>
      <c r="G30" s="8"/>
      <c r="H30" s="7"/>
      <c r="I30" s="7" t="s">
        <v>132</v>
      </c>
      <c r="J30" s="7" t="s">
        <v>133</v>
      </c>
      <c r="K30" s="7" t="s">
        <v>31</v>
      </c>
      <c r="L30" s="7" t="s">
        <v>134</v>
      </c>
      <c r="M30" s="7" t="s">
        <v>33</v>
      </c>
      <c r="N30" s="7"/>
      <c r="O30" s="8"/>
      <c r="P30" s="7" t="n">
        <v>0</v>
      </c>
      <c r="Q30" s="7" t="s">
        <v>56</v>
      </c>
      <c r="R30" s="7"/>
      <c r="S30" s="12" t="s">
        <v>63</v>
      </c>
    </row>
    <row r="31" customFormat="false" ht="15" hidden="false" customHeight="false" outlineLevel="0" collapsed="false">
      <c r="A31" s="10" t="n">
        <v>30</v>
      </c>
      <c r="B31" s="10" t="s">
        <v>129</v>
      </c>
      <c r="C31" s="10" t="s">
        <v>56</v>
      </c>
      <c r="D31" s="10"/>
      <c r="E31" s="10"/>
      <c r="F31" s="10"/>
      <c r="G31" s="11"/>
      <c r="H31" s="10"/>
      <c r="I31" s="10" t="s">
        <v>59</v>
      </c>
      <c r="J31" s="10" t="s">
        <v>135</v>
      </c>
      <c r="K31" s="10" t="s">
        <v>31</v>
      </c>
      <c r="L31" s="10" t="s">
        <v>136</v>
      </c>
      <c r="M31" s="10" t="s">
        <v>33</v>
      </c>
      <c r="N31" s="10"/>
      <c r="O31" s="11" t="n">
        <v>2800</v>
      </c>
      <c r="P31" s="10" t="n">
        <v>0</v>
      </c>
      <c r="Q31" s="10" t="s">
        <v>56</v>
      </c>
      <c r="R31" s="10"/>
      <c r="S31" s="12" t="s">
        <v>63</v>
      </c>
    </row>
    <row r="32" customFormat="false" ht="15" hidden="false" customHeight="false" outlineLevel="0" collapsed="false">
      <c r="A32" s="7" t="n">
        <v>31</v>
      </c>
      <c r="B32" s="7" t="s">
        <v>27</v>
      </c>
      <c r="C32" s="7" t="s">
        <v>56</v>
      </c>
      <c r="D32" s="7"/>
      <c r="E32" s="7"/>
      <c r="F32" s="7"/>
      <c r="G32" s="8"/>
      <c r="H32" s="7"/>
      <c r="I32" s="7" t="s">
        <v>29</v>
      </c>
      <c r="J32" s="7" t="s">
        <v>84</v>
      </c>
      <c r="K32" s="7" t="s">
        <v>31</v>
      </c>
      <c r="L32" s="7" t="s">
        <v>137</v>
      </c>
      <c r="M32" s="7" t="s">
        <v>33</v>
      </c>
      <c r="N32" s="7"/>
      <c r="O32" s="8" t="n">
        <v>15120</v>
      </c>
      <c r="P32" s="7" t="n">
        <v>0</v>
      </c>
      <c r="Q32" s="7" t="s">
        <v>34</v>
      </c>
      <c r="R32" s="7"/>
      <c r="S32" s="9" t="s">
        <v>35</v>
      </c>
    </row>
    <row r="33" customFormat="false" ht="15" hidden="false" customHeight="false" outlineLevel="0" collapsed="false">
      <c r="A33" s="10" t="n">
        <v>32</v>
      </c>
      <c r="B33" s="10" t="s">
        <v>27</v>
      </c>
      <c r="C33" s="10" t="s">
        <v>56</v>
      </c>
      <c r="D33" s="10" t="s">
        <v>138</v>
      </c>
      <c r="E33" s="10" t="s">
        <v>139</v>
      </c>
      <c r="F33" s="10" t="s">
        <v>53</v>
      </c>
      <c r="G33" s="11" t="n">
        <v>40800</v>
      </c>
      <c r="H33" s="10" t="s">
        <v>54</v>
      </c>
      <c r="I33" s="10" t="s">
        <v>138</v>
      </c>
      <c r="J33" s="10" t="s">
        <v>139</v>
      </c>
      <c r="K33" s="10" t="s">
        <v>31</v>
      </c>
      <c r="L33" s="10" t="s">
        <v>140</v>
      </c>
      <c r="M33" s="10" t="s">
        <v>33</v>
      </c>
      <c r="N33" s="10"/>
      <c r="O33" s="11" t="n">
        <v>30800</v>
      </c>
      <c r="P33" s="10" t="n">
        <v>0</v>
      </c>
      <c r="Q33" s="10" t="s">
        <v>56</v>
      </c>
      <c r="R33" s="10"/>
      <c r="S33" s="9" t="s">
        <v>35</v>
      </c>
    </row>
    <row r="34" customFormat="false" ht="23.85" hidden="false" customHeight="false" outlineLevel="0" collapsed="false">
      <c r="A34" s="7" t="n">
        <v>33</v>
      </c>
      <c r="B34" s="7" t="s">
        <v>27</v>
      </c>
      <c r="C34" s="7" t="s">
        <v>141</v>
      </c>
      <c r="D34" s="7" t="s">
        <v>138</v>
      </c>
      <c r="E34" s="7" t="s">
        <v>139</v>
      </c>
      <c r="F34" s="7" t="s">
        <v>142</v>
      </c>
      <c r="G34" s="8"/>
      <c r="H34" s="7"/>
      <c r="I34" s="7" t="s">
        <v>138</v>
      </c>
      <c r="J34" s="7" t="s">
        <v>143</v>
      </c>
      <c r="K34" s="7" t="s">
        <v>31</v>
      </c>
      <c r="L34" s="7" t="s">
        <v>144</v>
      </c>
      <c r="M34" s="7" t="s">
        <v>33</v>
      </c>
      <c r="N34" s="7"/>
      <c r="O34" s="8" t="n">
        <v>2800</v>
      </c>
      <c r="P34" s="7" t="n">
        <v>0</v>
      </c>
      <c r="Q34" s="7" t="s">
        <v>141</v>
      </c>
      <c r="R34" s="7" t="s">
        <v>145</v>
      </c>
      <c r="S34" s="9" t="s">
        <v>35</v>
      </c>
    </row>
    <row r="35" customFormat="false" ht="15" hidden="false" customHeight="false" outlineLevel="0" collapsed="false">
      <c r="A35" s="10" t="n">
        <v>34</v>
      </c>
      <c r="B35" s="10" t="s">
        <v>27</v>
      </c>
      <c r="C35" s="10" t="s">
        <v>141</v>
      </c>
      <c r="D35" s="10" t="s">
        <v>146</v>
      </c>
      <c r="E35" s="10" t="s">
        <v>147</v>
      </c>
      <c r="F35" s="10" t="s">
        <v>148</v>
      </c>
      <c r="G35" s="11"/>
      <c r="H35" s="10"/>
      <c r="I35" s="10" t="s">
        <v>146</v>
      </c>
      <c r="J35" s="10" t="s">
        <v>147</v>
      </c>
      <c r="K35" s="10" t="s">
        <v>31</v>
      </c>
      <c r="L35" s="10" t="s">
        <v>149</v>
      </c>
      <c r="M35" s="10" t="s">
        <v>150</v>
      </c>
      <c r="N35" s="10"/>
      <c r="O35" s="11" t="n">
        <v>11722.82</v>
      </c>
      <c r="P35" s="10" t="n">
        <v>0</v>
      </c>
      <c r="Q35" s="10" t="s">
        <v>141</v>
      </c>
      <c r="R35" s="10"/>
      <c r="S35" s="9" t="s">
        <v>35</v>
      </c>
    </row>
    <row r="36" customFormat="false" ht="15" hidden="false" customHeight="false" outlineLevel="0" collapsed="false">
      <c r="A36" s="7" t="n">
        <v>35</v>
      </c>
      <c r="B36" s="7" t="s">
        <v>27</v>
      </c>
      <c r="C36" s="7" t="s">
        <v>141</v>
      </c>
      <c r="D36" s="7" t="s">
        <v>146</v>
      </c>
      <c r="E36" s="7" t="s">
        <v>151</v>
      </c>
      <c r="F36" s="7" t="s">
        <v>148</v>
      </c>
      <c r="G36" s="8"/>
      <c r="H36" s="7"/>
      <c r="I36" s="7" t="s">
        <v>146</v>
      </c>
      <c r="J36" s="7" t="s">
        <v>151</v>
      </c>
      <c r="K36" s="7" t="s">
        <v>31</v>
      </c>
      <c r="L36" s="7" t="s">
        <v>152</v>
      </c>
      <c r="M36" s="7" t="s">
        <v>150</v>
      </c>
      <c r="N36" s="7"/>
      <c r="O36" s="8" t="n">
        <v>17699.36</v>
      </c>
      <c r="P36" s="7" t="n">
        <v>0</v>
      </c>
      <c r="Q36" s="7" t="s">
        <v>141</v>
      </c>
      <c r="R36" s="7"/>
      <c r="S36" s="9" t="s">
        <v>35</v>
      </c>
    </row>
    <row r="37" customFormat="false" ht="15" hidden="false" customHeight="false" outlineLevel="0" collapsed="false">
      <c r="A37" s="10" t="n">
        <v>36</v>
      </c>
      <c r="B37" s="10" t="s">
        <v>27</v>
      </c>
      <c r="C37" s="10" t="s">
        <v>141</v>
      </c>
      <c r="D37" s="10" t="s">
        <v>146</v>
      </c>
      <c r="E37" s="10" t="s">
        <v>153</v>
      </c>
      <c r="F37" s="10" t="s">
        <v>148</v>
      </c>
      <c r="G37" s="11"/>
      <c r="H37" s="10"/>
      <c r="I37" s="10" t="s">
        <v>146</v>
      </c>
      <c r="J37" s="10" t="s">
        <v>153</v>
      </c>
      <c r="K37" s="10" t="s">
        <v>31</v>
      </c>
      <c r="L37" s="10" t="s">
        <v>154</v>
      </c>
      <c r="M37" s="10" t="s">
        <v>150</v>
      </c>
      <c r="N37" s="10"/>
      <c r="O37" s="11" t="n">
        <v>12638.41</v>
      </c>
      <c r="P37" s="10" t="n">
        <v>0</v>
      </c>
      <c r="Q37" s="10" t="s">
        <v>141</v>
      </c>
      <c r="R37" s="10"/>
      <c r="S37" s="9" t="s">
        <v>35</v>
      </c>
    </row>
    <row r="38" customFormat="false" ht="23.85" hidden="false" customHeight="false" outlineLevel="0" collapsed="false">
      <c r="A38" s="7" t="n">
        <v>37</v>
      </c>
      <c r="B38" s="7" t="s">
        <v>27</v>
      </c>
      <c r="C38" s="7" t="s">
        <v>141</v>
      </c>
      <c r="D38" s="7" t="s">
        <v>65</v>
      </c>
      <c r="E38" s="7" t="s">
        <v>155</v>
      </c>
      <c r="F38" s="7" t="s">
        <v>142</v>
      </c>
      <c r="G38" s="8"/>
      <c r="H38" s="7"/>
      <c r="I38" s="7" t="s">
        <v>65</v>
      </c>
      <c r="J38" s="7" t="s">
        <v>155</v>
      </c>
      <c r="K38" s="7" t="s">
        <v>31</v>
      </c>
      <c r="L38" s="7" t="s">
        <v>156</v>
      </c>
      <c r="M38" s="7" t="s">
        <v>68</v>
      </c>
      <c r="N38" s="7"/>
      <c r="O38" s="8" t="n">
        <v>19457</v>
      </c>
      <c r="P38" s="7" t="n">
        <v>0</v>
      </c>
      <c r="Q38" s="7" t="s">
        <v>141</v>
      </c>
      <c r="R38" s="7"/>
      <c r="S38" s="9" t="s">
        <v>35</v>
      </c>
    </row>
    <row r="39" customFormat="false" ht="15" hidden="false" customHeight="false" outlineLevel="0" collapsed="false">
      <c r="A39" s="10" t="n">
        <v>38</v>
      </c>
      <c r="B39" s="10" t="s">
        <v>27</v>
      </c>
      <c r="C39" s="10" t="s">
        <v>157</v>
      </c>
      <c r="D39" s="10" t="s">
        <v>39</v>
      </c>
      <c r="E39" s="10" t="s">
        <v>158</v>
      </c>
      <c r="F39" s="10" t="s">
        <v>159</v>
      </c>
      <c r="G39" s="11" t="n">
        <v>1200</v>
      </c>
      <c r="H39" s="10" t="s">
        <v>54</v>
      </c>
      <c r="I39" s="10" t="s">
        <v>39</v>
      </c>
      <c r="J39" s="10" t="s">
        <v>160</v>
      </c>
      <c r="K39" s="10" t="s">
        <v>31</v>
      </c>
      <c r="L39" s="10" t="s">
        <v>161</v>
      </c>
      <c r="M39" s="10" t="s">
        <v>33</v>
      </c>
      <c r="N39" s="10"/>
      <c r="O39" s="11" t="n">
        <v>2610</v>
      </c>
      <c r="P39" s="10" t="n">
        <v>0</v>
      </c>
      <c r="Q39" s="10" t="s">
        <v>34</v>
      </c>
      <c r="R39" s="10"/>
      <c r="S39" s="9" t="s">
        <v>35</v>
      </c>
    </row>
    <row r="40" customFormat="false" ht="15" hidden="false" customHeight="false" outlineLevel="0" collapsed="false">
      <c r="A40" s="7" t="n">
        <v>39</v>
      </c>
      <c r="B40" s="7" t="s">
        <v>162</v>
      </c>
      <c r="C40" s="7" t="s">
        <v>58</v>
      </c>
      <c r="D40" s="7" t="s">
        <v>39</v>
      </c>
      <c r="E40" s="7" t="s">
        <v>163</v>
      </c>
      <c r="F40" s="7" t="s">
        <v>164</v>
      </c>
      <c r="G40" s="8"/>
      <c r="H40" s="7"/>
      <c r="I40" s="7" t="s">
        <v>39</v>
      </c>
      <c r="J40" s="7" t="s">
        <v>165</v>
      </c>
      <c r="K40" s="7" t="s">
        <v>31</v>
      </c>
      <c r="L40" s="7" t="s">
        <v>166</v>
      </c>
      <c r="M40" s="7" t="s">
        <v>33</v>
      </c>
      <c r="N40" s="7"/>
      <c r="O40" s="8"/>
      <c r="P40" s="7" t="n">
        <v>0</v>
      </c>
      <c r="Q40" s="7" t="s">
        <v>34</v>
      </c>
      <c r="R40" s="7" t="s">
        <v>167</v>
      </c>
      <c r="S40" s="9" t="s">
        <v>35</v>
      </c>
    </row>
    <row r="41" customFormat="false" ht="15" hidden="false" customHeight="false" outlineLevel="0" collapsed="false">
      <c r="A41" s="10" t="n">
        <v>40</v>
      </c>
      <c r="B41" s="10" t="s">
        <v>162</v>
      </c>
      <c r="C41" s="10" t="s">
        <v>58</v>
      </c>
      <c r="D41" s="10" t="s">
        <v>39</v>
      </c>
      <c r="E41" s="10" t="s">
        <v>168</v>
      </c>
      <c r="F41" s="10" t="s">
        <v>164</v>
      </c>
      <c r="G41" s="11"/>
      <c r="H41" s="10"/>
      <c r="I41" s="10" t="s">
        <v>39</v>
      </c>
      <c r="J41" s="10" t="s">
        <v>169</v>
      </c>
      <c r="K41" s="10" t="s">
        <v>31</v>
      </c>
      <c r="L41" s="10" t="s">
        <v>170</v>
      </c>
      <c r="M41" s="10" t="s">
        <v>33</v>
      </c>
      <c r="N41" s="10"/>
      <c r="O41" s="11" t="n">
        <v>1430</v>
      </c>
      <c r="P41" s="10" t="n">
        <v>0</v>
      </c>
      <c r="Q41" s="10" t="s">
        <v>34</v>
      </c>
      <c r="R41" s="10" t="s">
        <v>171</v>
      </c>
      <c r="S41" s="9" t="s">
        <v>35</v>
      </c>
    </row>
    <row r="42" customFormat="false" ht="15" hidden="false" customHeight="false" outlineLevel="0" collapsed="false">
      <c r="A42" s="7" t="n">
        <v>41</v>
      </c>
      <c r="B42" s="7" t="s">
        <v>27</v>
      </c>
      <c r="C42" s="7" t="s">
        <v>172</v>
      </c>
      <c r="D42" s="7" t="s">
        <v>98</v>
      </c>
      <c r="E42" s="7" t="s">
        <v>173</v>
      </c>
      <c r="F42" s="7" t="s">
        <v>174</v>
      </c>
      <c r="G42" s="8"/>
      <c r="H42" s="7"/>
      <c r="I42" s="7" t="s">
        <v>98</v>
      </c>
      <c r="J42" s="7" t="s">
        <v>175</v>
      </c>
      <c r="K42" s="7" t="s">
        <v>31</v>
      </c>
      <c r="L42" s="7" t="s">
        <v>176</v>
      </c>
      <c r="M42" s="7" t="s">
        <v>68</v>
      </c>
      <c r="N42" s="7"/>
      <c r="O42" s="8"/>
      <c r="P42" s="7" t="n">
        <v>0</v>
      </c>
      <c r="Q42" s="7" t="s">
        <v>34</v>
      </c>
      <c r="R42" s="7"/>
      <c r="S42" s="9" t="s">
        <v>35</v>
      </c>
    </row>
    <row r="43" customFormat="false" ht="15" hidden="false" customHeight="false" outlineLevel="0" collapsed="false">
      <c r="A43" s="10" t="n">
        <v>42</v>
      </c>
      <c r="B43" s="10" t="s">
        <v>27</v>
      </c>
      <c r="C43" s="10" t="s">
        <v>172</v>
      </c>
      <c r="D43" s="10" t="s">
        <v>98</v>
      </c>
      <c r="E43" s="10" t="s">
        <v>177</v>
      </c>
      <c r="F43" s="10" t="s">
        <v>178</v>
      </c>
      <c r="G43" s="11"/>
      <c r="H43" s="10"/>
      <c r="I43" s="10" t="s">
        <v>98</v>
      </c>
      <c r="J43" s="10" t="s">
        <v>179</v>
      </c>
      <c r="K43" s="10" t="s">
        <v>31</v>
      </c>
      <c r="L43" s="10" t="s">
        <v>180</v>
      </c>
      <c r="M43" s="10" t="s">
        <v>68</v>
      </c>
      <c r="N43" s="10"/>
      <c r="O43" s="11"/>
      <c r="P43" s="10" t="n">
        <v>0</v>
      </c>
      <c r="Q43" s="10" t="s">
        <v>34</v>
      </c>
      <c r="R43" s="10"/>
      <c r="S43" s="9" t="s">
        <v>35</v>
      </c>
    </row>
    <row r="44" customFormat="false" ht="15" hidden="false" customHeight="false" outlineLevel="0" collapsed="false">
      <c r="A44" s="7" t="n">
        <v>43</v>
      </c>
      <c r="B44" s="7" t="s">
        <v>27</v>
      </c>
      <c r="C44" s="7" t="s">
        <v>172</v>
      </c>
      <c r="D44" s="7" t="s">
        <v>181</v>
      </c>
      <c r="E44" s="7" t="s">
        <v>182</v>
      </c>
      <c r="F44" s="7" t="s">
        <v>183</v>
      </c>
      <c r="G44" s="8"/>
      <c r="H44" s="7"/>
      <c r="I44" s="7" t="s">
        <v>181</v>
      </c>
      <c r="J44" s="7" t="s">
        <v>184</v>
      </c>
      <c r="K44" s="7" t="s">
        <v>31</v>
      </c>
      <c r="L44" s="7" t="s">
        <v>185</v>
      </c>
      <c r="M44" s="7" t="s">
        <v>34</v>
      </c>
      <c r="N44" s="7"/>
      <c r="O44" s="8"/>
      <c r="P44" s="7" t="n">
        <v>0</v>
      </c>
      <c r="Q44" s="7" t="s">
        <v>34</v>
      </c>
      <c r="R44" s="7"/>
      <c r="S44" s="9" t="s">
        <v>35</v>
      </c>
    </row>
    <row r="45" customFormat="false" ht="15" hidden="false" customHeight="false" outlineLevel="0" collapsed="false">
      <c r="A45" s="10" t="n">
        <v>44</v>
      </c>
      <c r="B45" s="10" t="s">
        <v>186</v>
      </c>
      <c r="C45" s="10" t="s">
        <v>187</v>
      </c>
      <c r="D45" s="10" t="s">
        <v>39</v>
      </c>
      <c r="E45" s="10" t="s">
        <v>188</v>
      </c>
      <c r="F45" s="10" t="s">
        <v>189</v>
      </c>
      <c r="G45" s="11"/>
      <c r="H45" s="10"/>
      <c r="I45" s="10" t="s">
        <v>39</v>
      </c>
      <c r="J45" s="10" t="s">
        <v>190</v>
      </c>
      <c r="K45" s="10" t="s">
        <v>31</v>
      </c>
      <c r="L45" s="10" t="s">
        <v>191</v>
      </c>
      <c r="M45" s="10" t="s">
        <v>33</v>
      </c>
      <c r="N45" s="10"/>
      <c r="O45" s="11" t="n">
        <v>435</v>
      </c>
      <c r="P45" s="10" t="n">
        <v>1</v>
      </c>
      <c r="Q45" s="10" t="s">
        <v>34</v>
      </c>
      <c r="R45" s="10" t="s">
        <v>167</v>
      </c>
      <c r="S45" s="9" t="s">
        <v>35</v>
      </c>
    </row>
    <row r="46" customFormat="false" ht="15" hidden="false" customHeight="false" outlineLevel="0" collapsed="false">
      <c r="A46" s="7" t="n">
        <v>45</v>
      </c>
      <c r="B46" s="7" t="s">
        <v>192</v>
      </c>
      <c r="C46" s="7" t="s">
        <v>187</v>
      </c>
      <c r="D46" s="7" t="s">
        <v>39</v>
      </c>
      <c r="E46" s="7" t="s">
        <v>193</v>
      </c>
      <c r="F46" s="7" t="s">
        <v>189</v>
      </c>
      <c r="G46" s="8" t="n">
        <v>1200</v>
      </c>
      <c r="H46" s="7" t="s">
        <v>54</v>
      </c>
      <c r="I46" s="7" t="s">
        <v>39</v>
      </c>
      <c r="J46" s="7" t="s">
        <v>194</v>
      </c>
      <c r="K46" s="7" t="s">
        <v>31</v>
      </c>
      <c r="L46" s="7" t="s">
        <v>195</v>
      </c>
      <c r="M46" s="7" t="s">
        <v>33</v>
      </c>
      <c r="N46" s="7"/>
      <c r="O46" s="8" t="n">
        <v>435</v>
      </c>
      <c r="P46" s="7" t="n">
        <v>1</v>
      </c>
      <c r="Q46" s="7" t="s">
        <v>34</v>
      </c>
      <c r="R46" s="7" t="s">
        <v>167</v>
      </c>
      <c r="S46" s="9" t="s">
        <v>35</v>
      </c>
    </row>
    <row r="47" customFormat="false" ht="15" hidden="false" customHeight="false" outlineLevel="0" collapsed="false">
      <c r="A47" s="10" t="n">
        <v>46</v>
      </c>
      <c r="B47" s="10" t="s">
        <v>27</v>
      </c>
      <c r="C47" s="10" t="s">
        <v>172</v>
      </c>
      <c r="D47" s="10" t="s">
        <v>181</v>
      </c>
      <c r="E47" s="10" t="s">
        <v>182</v>
      </c>
      <c r="F47" s="10" t="s">
        <v>183</v>
      </c>
      <c r="G47" s="11"/>
      <c r="H47" s="10"/>
      <c r="I47" s="10" t="s">
        <v>181</v>
      </c>
      <c r="J47" s="10" t="s">
        <v>184</v>
      </c>
      <c r="K47" s="10" t="s">
        <v>31</v>
      </c>
      <c r="L47" s="10" t="s">
        <v>185</v>
      </c>
      <c r="M47" s="10" t="s">
        <v>196</v>
      </c>
      <c r="N47" s="10"/>
      <c r="O47" s="11"/>
      <c r="P47" s="10" t="n">
        <v>0</v>
      </c>
      <c r="Q47" s="10" t="s">
        <v>34</v>
      </c>
      <c r="R47" s="10"/>
      <c r="S47" s="9" t="s">
        <v>35</v>
      </c>
    </row>
    <row r="48" customFormat="false" ht="15" hidden="false" customHeight="false" outlineLevel="0" collapsed="false">
      <c r="A48" s="7" t="n">
        <v>47</v>
      </c>
      <c r="B48" s="7" t="s">
        <v>186</v>
      </c>
      <c r="C48" s="7" t="s">
        <v>91</v>
      </c>
      <c r="D48" s="7"/>
      <c r="E48" s="7"/>
      <c r="F48" s="7"/>
      <c r="G48" s="8"/>
      <c r="H48" s="7"/>
      <c r="I48" s="7" t="s">
        <v>29</v>
      </c>
      <c r="J48" s="7" t="s">
        <v>197</v>
      </c>
      <c r="K48" s="7" t="s">
        <v>31</v>
      </c>
      <c r="L48" s="7" t="s">
        <v>198</v>
      </c>
      <c r="M48" s="7"/>
      <c r="N48" s="7"/>
      <c r="O48" s="8"/>
      <c r="P48" s="7" t="n">
        <v>0</v>
      </c>
      <c r="Q48" s="7" t="s">
        <v>91</v>
      </c>
      <c r="R48" s="7"/>
      <c r="S48" s="12" t="s">
        <v>63</v>
      </c>
    </row>
    <row r="49" customFormat="false" ht="15" hidden="false" customHeight="false" outlineLevel="0" collapsed="false">
      <c r="A49" s="10" t="n">
        <v>48</v>
      </c>
      <c r="B49" s="10" t="s">
        <v>199</v>
      </c>
      <c r="C49" s="10" t="s">
        <v>157</v>
      </c>
      <c r="D49" s="10"/>
      <c r="E49" s="10"/>
      <c r="F49" s="10"/>
      <c r="G49" s="11"/>
      <c r="H49" s="10"/>
      <c r="I49" s="10" t="s">
        <v>200</v>
      </c>
      <c r="J49" s="10" t="s">
        <v>201</v>
      </c>
      <c r="K49" s="10" t="s">
        <v>31</v>
      </c>
      <c r="L49" s="10" t="s">
        <v>202</v>
      </c>
      <c r="M49" s="10" t="s">
        <v>203</v>
      </c>
      <c r="N49" s="10"/>
      <c r="O49" s="11"/>
      <c r="P49" s="10" t="n">
        <v>0</v>
      </c>
      <c r="Q49" s="10" t="s">
        <v>157</v>
      </c>
      <c r="R49" s="10" t="s">
        <v>101</v>
      </c>
      <c r="S49" s="12" t="s">
        <v>63</v>
      </c>
    </row>
    <row r="50" customFormat="false" ht="15" hidden="false" customHeight="false" outlineLevel="0" collapsed="false">
      <c r="A50" s="7" t="n">
        <v>49</v>
      </c>
      <c r="B50" s="7" t="s">
        <v>204</v>
      </c>
      <c r="C50" s="7" t="s">
        <v>157</v>
      </c>
      <c r="D50" s="7"/>
      <c r="E50" s="7"/>
      <c r="F50" s="7"/>
      <c r="G50" s="8"/>
      <c r="H50" s="7"/>
      <c r="I50" s="7" t="s">
        <v>205</v>
      </c>
      <c r="J50" s="7" t="s">
        <v>206</v>
      </c>
      <c r="K50" s="7" t="s">
        <v>31</v>
      </c>
      <c r="L50" s="7" t="s">
        <v>207</v>
      </c>
      <c r="M50" s="7" t="s">
        <v>203</v>
      </c>
      <c r="N50" s="7"/>
      <c r="O50" s="8"/>
      <c r="P50" s="7" t="n">
        <v>0</v>
      </c>
      <c r="Q50" s="7" t="s">
        <v>157</v>
      </c>
      <c r="R50" s="7" t="s">
        <v>101</v>
      </c>
      <c r="S50" s="12" t="s">
        <v>63</v>
      </c>
    </row>
    <row r="51" customFormat="false" ht="15" hidden="false" customHeight="false" outlineLevel="0" collapsed="false">
      <c r="A51" s="10" t="n">
        <v>50</v>
      </c>
      <c r="B51" s="10" t="s">
        <v>107</v>
      </c>
      <c r="C51" s="10" t="s">
        <v>58</v>
      </c>
      <c r="D51" s="10" t="s">
        <v>208</v>
      </c>
      <c r="E51" s="10" t="s">
        <v>209</v>
      </c>
      <c r="F51" s="10" t="s">
        <v>210</v>
      </c>
      <c r="G51" s="11" t="n">
        <v>3500</v>
      </c>
      <c r="H51" s="10" t="s">
        <v>54</v>
      </c>
      <c r="I51" s="10" t="s">
        <v>208</v>
      </c>
      <c r="J51" s="10" t="s">
        <v>211</v>
      </c>
      <c r="K51" s="10" t="s">
        <v>212</v>
      </c>
      <c r="L51" s="10"/>
      <c r="M51" s="10"/>
      <c r="N51" s="10"/>
      <c r="O51" s="11"/>
      <c r="P51" s="10" t="n">
        <v>0</v>
      </c>
      <c r="Q51" s="10" t="s">
        <v>34</v>
      </c>
      <c r="R51" s="10"/>
      <c r="S51" s="9" t="s">
        <v>35</v>
      </c>
    </row>
    <row r="52" customFormat="false" ht="23.85" hidden="false" customHeight="false" outlineLevel="0" collapsed="false">
      <c r="A52" s="7" t="n">
        <v>51</v>
      </c>
      <c r="B52" s="7" t="s">
        <v>107</v>
      </c>
      <c r="C52" s="7" t="s">
        <v>58</v>
      </c>
      <c r="D52" s="7" t="s">
        <v>213</v>
      </c>
      <c r="E52" s="7" t="s">
        <v>214</v>
      </c>
      <c r="F52" s="7" t="s">
        <v>210</v>
      </c>
      <c r="G52" s="8" t="n">
        <v>1800</v>
      </c>
      <c r="H52" s="7" t="s">
        <v>54</v>
      </c>
      <c r="I52" s="7" t="s">
        <v>213</v>
      </c>
      <c r="J52" s="7"/>
      <c r="K52" s="7" t="s">
        <v>215</v>
      </c>
      <c r="L52" s="7"/>
      <c r="M52" s="7"/>
      <c r="N52" s="7"/>
      <c r="O52" s="8"/>
      <c r="P52" s="7" t="n">
        <v>0</v>
      </c>
      <c r="Q52" s="7" t="s">
        <v>34</v>
      </c>
      <c r="R52" s="7"/>
      <c r="S52" s="13" t="s">
        <v>216</v>
      </c>
    </row>
    <row r="53" customFormat="false" ht="23.85" hidden="false" customHeight="false" outlineLevel="0" collapsed="false">
      <c r="A53" s="10" t="n">
        <v>52</v>
      </c>
      <c r="B53" s="10" t="s">
        <v>107</v>
      </c>
      <c r="C53" s="10" t="s">
        <v>58</v>
      </c>
      <c r="D53" s="10" t="s">
        <v>217</v>
      </c>
      <c r="E53" s="10" t="s">
        <v>218</v>
      </c>
      <c r="F53" s="10" t="s">
        <v>210</v>
      </c>
      <c r="G53" s="11" t="n">
        <v>3500</v>
      </c>
      <c r="H53" s="10" t="s">
        <v>54</v>
      </c>
      <c r="I53" s="10" t="s">
        <v>217</v>
      </c>
      <c r="J53" s="10"/>
      <c r="K53" s="10" t="s">
        <v>215</v>
      </c>
      <c r="L53" s="10"/>
      <c r="M53" s="10"/>
      <c r="N53" s="10"/>
      <c r="O53" s="11"/>
      <c r="P53" s="10" t="n">
        <v>0</v>
      </c>
      <c r="Q53" s="10" t="s">
        <v>34</v>
      </c>
      <c r="R53" s="10"/>
      <c r="S53" s="13" t="s">
        <v>216</v>
      </c>
    </row>
    <row r="54" customFormat="false" ht="23.85" hidden="false" customHeight="false" outlineLevel="0" collapsed="false">
      <c r="A54" s="7" t="n">
        <v>53</v>
      </c>
      <c r="B54" s="7" t="s">
        <v>219</v>
      </c>
      <c r="C54" s="7" t="s">
        <v>220</v>
      </c>
      <c r="D54" s="7" t="s">
        <v>221</v>
      </c>
      <c r="E54" s="7" t="s">
        <v>222</v>
      </c>
      <c r="F54" s="7" t="s">
        <v>223</v>
      </c>
      <c r="G54" s="8"/>
      <c r="H54" s="7"/>
      <c r="I54" s="7" t="s">
        <v>221</v>
      </c>
      <c r="J54" s="7"/>
      <c r="K54" s="7" t="s">
        <v>215</v>
      </c>
      <c r="L54" s="7"/>
      <c r="M54" s="7"/>
      <c r="N54" s="7"/>
      <c r="O54" s="8"/>
      <c r="P54" s="7" t="n">
        <v>0</v>
      </c>
      <c r="Q54" s="7" t="s">
        <v>34</v>
      </c>
      <c r="R54" s="7"/>
      <c r="S54" s="13" t="s">
        <v>216</v>
      </c>
    </row>
    <row r="55" customFormat="false" ht="23.85" hidden="false" customHeight="false" outlineLevel="0" collapsed="false">
      <c r="A55" s="10" t="n">
        <v>54</v>
      </c>
      <c r="B55" s="10" t="s">
        <v>224</v>
      </c>
      <c r="C55" s="10" t="s">
        <v>157</v>
      </c>
      <c r="D55" s="10" t="s">
        <v>225</v>
      </c>
      <c r="E55" s="10"/>
      <c r="F55" s="10" t="s">
        <v>226</v>
      </c>
      <c r="G55" s="11" t="n">
        <v>6000</v>
      </c>
      <c r="H55" s="10" t="s">
        <v>54</v>
      </c>
      <c r="I55" s="10" t="s">
        <v>225</v>
      </c>
      <c r="J55" s="10"/>
      <c r="K55" s="10" t="s">
        <v>215</v>
      </c>
      <c r="L55" s="10"/>
      <c r="M55" s="10"/>
      <c r="N55" s="10"/>
      <c r="O55" s="11"/>
      <c r="P55" s="10" t="n">
        <v>0</v>
      </c>
      <c r="Q55" s="10" t="s">
        <v>34</v>
      </c>
      <c r="R55" s="10"/>
      <c r="S55" s="13" t="s">
        <v>216</v>
      </c>
    </row>
    <row r="56" customFormat="false" ht="23.85" hidden="false" customHeight="false" outlineLevel="0" collapsed="false">
      <c r="A56" s="7" t="n">
        <v>55</v>
      </c>
      <c r="B56" s="7" t="s">
        <v>224</v>
      </c>
      <c r="C56" s="7" t="s">
        <v>157</v>
      </c>
      <c r="D56" s="7" t="s">
        <v>227</v>
      </c>
      <c r="E56" s="7" t="s">
        <v>228</v>
      </c>
      <c r="F56" s="7" t="s">
        <v>226</v>
      </c>
      <c r="G56" s="8" t="n">
        <v>3000</v>
      </c>
      <c r="H56" s="7" t="s">
        <v>54</v>
      </c>
      <c r="I56" s="7" t="s">
        <v>227</v>
      </c>
      <c r="J56" s="7"/>
      <c r="K56" s="7" t="s">
        <v>215</v>
      </c>
      <c r="L56" s="7"/>
      <c r="M56" s="7"/>
      <c r="N56" s="7"/>
      <c r="O56" s="8"/>
      <c r="P56" s="7" t="n">
        <v>0</v>
      </c>
      <c r="Q56" s="7" t="s">
        <v>34</v>
      </c>
      <c r="R56" s="7"/>
      <c r="S56" s="13" t="s">
        <v>216</v>
      </c>
    </row>
    <row r="57" customFormat="false" ht="23.85" hidden="false" customHeight="false" outlineLevel="0" collapsed="false">
      <c r="A57" s="10" t="n">
        <v>56</v>
      </c>
      <c r="B57" s="10" t="s">
        <v>224</v>
      </c>
      <c r="C57" s="10" t="s">
        <v>157</v>
      </c>
      <c r="D57" s="10" t="s">
        <v>229</v>
      </c>
      <c r="E57" s="10" t="s">
        <v>230</v>
      </c>
      <c r="F57" s="10" t="s">
        <v>226</v>
      </c>
      <c r="G57" s="11" t="n">
        <v>3000</v>
      </c>
      <c r="H57" s="10" t="s">
        <v>54</v>
      </c>
      <c r="I57" s="10" t="s">
        <v>229</v>
      </c>
      <c r="J57" s="10"/>
      <c r="K57" s="10" t="s">
        <v>215</v>
      </c>
      <c r="L57" s="10"/>
      <c r="M57" s="10"/>
      <c r="N57" s="10"/>
      <c r="O57" s="11"/>
      <c r="P57" s="10" t="n">
        <v>0</v>
      </c>
      <c r="Q57" s="10" t="s">
        <v>34</v>
      </c>
      <c r="R57" s="10"/>
      <c r="S57" s="13" t="s">
        <v>216</v>
      </c>
    </row>
    <row r="58" customFormat="false" ht="23.85" hidden="false" customHeight="false" outlineLevel="0" collapsed="false">
      <c r="A58" s="7" t="n">
        <v>57</v>
      </c>
      <c r="B58" s="7" t="s">
        <v>231</v>
      </c>
      <c r="C58" s="7" t="s">
        <v>114</v>
      </c>
      <c r="D58" s="7" t="s">
        <v>232</v>
      </c>
      <c r="E58" s="7" t="s">
        <v>233</v>
      </c>
      <c r="F58" s="7" t="s">
        <v>234</v>
      </c>
      <c r="G58" s="8" t="n">
        <v>11000</v>
      </c>
      <c r="H58" s="7" t="s">
        <v>54</v>
      </c>
      <c r="I58" s="7" t="s">
        <v>232</v>
      </c>
      <c r="J58" s="7"/>
      <c r="K58" s="7" t="s">
        <v>215</v>
      </c>
      <c r="L58" s="7"/>
      <c r="M58" s="7"/>
      <c r="N58" s="7"/>
      <c r="O58" s="8"/>
      <c r="P58" s="7" t="n">
        <v>0</v>
      </c>
      <c r="Q58" s="7" t="s">
        <v>34</v>
      </c>
      <c r="R58" s="7"/>
      <c r="S58" s="13" t="s">
        <v>216</v>
      </c>
    </row>
    <row r="59" customFormat="false" ht="15" hidden="false" customHeight="false" outlineLevel="0" collapsed="false">
      <c r="A59" s="10" t="n">
        <v>58</v>
      </c>
      <c r="B59" s="10" t="s">
        <v>235</v>
      </c>
      <c r="C59" s="10" t="s">
        <v>236</v>
      </c>
      <c r="D59" s="10"/>
      <c r="E59" s="10"/>
      <c r="F59" s="10"/>
      <c r="G59" s="11"/>
      <c r="H59" s="10"/>
      <c r="I59" s="10" t="s">
        <v>237</v>
      </c>
      <c r="J59" s="10" t="s">
        <v>238</v>
      </c>
      <c r="K59" s="10" t="s">
        <v>31</v>
      </c>
      <c r="L59" s="10" t="s">
        <v>239</v>
      </c>
      <c r="M59" s="10" t="s">
        <v>240</v>
      </c>
      <c r="N59" s="10" t="s">
        <v>241</v>
      </c>
      <c r="O59" s="11"/>
      <c r="P59" s="10" t="n">
        <v>0</v>
      </c>
      <c r="Q59" s="10" t="s">
        <v>236</v>
      </c>
      <c r="R59" s="10"/>
      <c r="S59" s="12" t="s">
        <v>63</v>
      </c>
    </row>
    <row r="60" customFormat="false" ht="23.85" hidden="false" customHeight="false" outlineLevel="0" collapsed="false">
      <c r="A60" s="7" t="n">
        <v>59</v>
      </c>
      <c r="B60" s="7" t="s">
        <v>242</v>
      </c>
      <c r="C60" s="7" t="s">
        <v>220</v>
      </c>
      <c r="D60" s="7" t="s">
        <v>65</v>
      </c>
      <c r="E60" s="7" t="s">
        <v>243</v>
      </c>
      <c r="F60" s="7" t="s">
        <v>244</v>
      </c>
      <c r="G60" s="8" t="n">
        <v>79500</v>
      </c>
      <c r="H60" s="7" t="s">
        <v>54</v>
      </c>
      <c r="I60" s="7" t="s">
        <v>65</v>
      </c>
      <c r="J60" s="7"/>
      <c r="K60" s="7" t="s">
        <v>215</v>
      </c>
      <c r="L60" s="7"/>
      <c r="M60" s="7"/>
      <c r="N60" s="7"/>
      <c r="O60" s="8"/>
      <c r="P60" s="7" t="n">
        <v>0</v>
      </c>
      <c r="Q60" s="7" t="s">
        <v>34</v>
      </c>
      <c r="R60" s="7"/>
      <c r="S60" s="13" t="s">
        <v>216</v>
      </c>
    </row>
    <row r="61" customFormat="false" ht="23.85" hidden="false" customHeight="false" outlineLevel="0" collapsed="false">
      <c r="A61" s="10" t="n">
        <v>60</v>
      </c>
      <c r="B61" s="10" t="s">
        <v>245</v>
      </c>
      <c r="C61" s="10" t="s">
        <v>34</v>
      </c>
      <c r="D61" s="10" t="s">
        <v>65</v>
      </c>
      <c r="E61" s="10" t="s">
        <v>111</v>
      </c>
      <c r="F61" s="10" t="s">
        <v>112</v>
      </c>
      <c r="G61" s="11" t="n">
        <v>72000</v>
      </c>
      <c r="H61" s="10" t="s">
        <v>54</v>
      </c>
      <c r="I61" s="10" t="s">
        <v>65</v>
      </c>
      <c r="J61" s="10" t="s">
        <v>246</v>
      </c>
      <c r="K61" s="10" t="s">
        <v>31</v>
      </c>
      <c r="L61" s="10" t="s">
        <v>247</v>
      </c>
      <c r="M61" s="10" t="s">
        <v>240</v>
      </c>
      <c r="N61" s="10"/>
      <c r="O61" s="11"/>
      <c r="P61" s="10" t="n">
        <v>0</v>
      </c>
      <c r="Q61" s="10" t="s">
        <v>114</v>
      </c>
      <c r="R61" s="10"/>
      <c r="S61" s="9" t="s">
        <v>35</v>
      </c>
    </row>
    <row r="62" customFormat="false" ht="15" hidden="false" customHeight="false" outlineLevel="0" collapsed="false">
      <c r="A62" s="7" t="n">
        <v>61</v>
      </c>
      <c r="B62" s="7" t="s">
        <v>248</v>
      </c>
      <c r="C62" s="7" t="s">
        <v>141</v>
      </c>
      <c r="D62" s="7"/>
      <c r="E62" s="7"/>
      <c r="F62" s="7"/>
      <c r="G62" s="8" t="n">
        <v>16000</v>
      </c>
      <c r="H62" s="7" t="s">
        <v>54</v>
      </c>
      <c r="I62" s="7" t="s">
        <v>146</v>
      </c>
      <c r="J62" s="7" t="s">
        <v>249</v>
      </c>
      <c r="K62" s="7" t="s">
        <v>31</v>
      </c>
      <c r="L62" s="7" t="s">
        <v>250</v>
      </c>
      <c r="M62" s="7" t="s">
        <v>150</v>
      </c>
      <c r="N62" s="7"/>
      <c r="O62" s="8"/>
      <c r="P62" s="7" t="n">
        <v>0</v>
      </c>
      <c r="Q62" s="7" t="s">
        <v>141</v>
      </c>
      <c r="R62" s="7"/>
      <c r="S62" s="9" t="s">
        <v>35</v>
      </c>
    </row>
    <row r="63" customFormat="false" ht="15" hidden="false" customHeight="false" outlineLevel="0" collapsed="false">
      <c r="A63" s="10" t="n">
        <v>62</v>
      </c>
      <c r="B63" s="10" t="s">
        <v>248</v>
      </c>
      <c r="C63" s="10" t="s">
        <v>141</v>
      </c>
      <c r="D63" s="10"/>
      <c r="E63" s="10"/>
      <c r="F63" s="10"/>
      <c r="G63" s="11" t="n">
        <v>16000</v>
      </c>
      <c r="H63" s="10" t="s">
        <v>54</v>
      </c>
      <c r="I63" s="10" t="s">
        <v>146</v>
      </c>
      <c r="J63" s="10" t="s">
        <v>251</v>
      </c>
      <c r="K63" s="10" t="s">
        <v>31</v>
      </c>
      <c r="L63" s="10" t="s">
        <v>252</v>
      </c>
      <c r="M63" s="10" t="s">
        <v>150</v>
      </c>
      <c r="N63" s="10"/>
      <c r="O63" s="11"/>
      <c r="P63" s="10" t="n">
        <v>0</v>
      </c>
      <c r="Q63" s="10" t="s">
        <v>141</v>
      </c>
      <c r="R63" s="10"/>
      <c r="S63" s="9" t="s">
        <v>35</v>
      </c>
    </row>
    <row r="64" customFormat="false" ht="23.85" hidden="false" customHeight="false" outlineLevel="0" collapsed="false">
      <c r="A64" s="7" t="n">
        <v>63</v>
      </c>
      <c r="B64" s="7" t="s">
        <v>253</v>
      </c>
      <c r="C64" s="7" t="s">
        <v>187</v>
      </c>
      <c r="D64" s="7" t="s">
        <v>208</v>
      </c>
      <c r="E64" s="7" t="s">
        <v>254</v>
      </c>
      <c r="F64" s="7" t="s">
        <v>255</v>
      </c>
      <c r="G64" s="8" t="n">
        <v>5000</v>
      </c>
      <c r="H64" s="7" t="s">
        <v>54</v>
      </c>
      <c r="I64" s="7" t="s">
        <v>208</v>
      </c>
      <c r="J64" s="7"/>
      <c r="K64" s="7" t="s">
        <v>215</v>
      </c>
      <c r="L64" s="7"/>
      <c r="M64" s="7"/>
      <c r="N64" s="7"/>
      <c r="O64" s="8"/>
      <c r="P64" s="7" t="n">
        <v>0</v>
      </c>
      <c r="Q64" s="7" t="s">
        <v>34</v>
      </c>
      <c r="R64" s="7"/>
      <c r="S64" s="13" t="s">
        <v>216</v>
      </c>
    </row>
    <row r="65" customFormat="false" ht="15" hidden="false" customHeight="false" outlineLevel="0" collapsed="false">
      <c r="A65" s="10" t="n">
        <v>64</v>
      </c>
      <c r="B65" s="10" t="s">
        <v>248</v>
      </c>
      <c r="C65" s="10" t="s">
        <v>141</v>
      </c>
      <c r="D65" s="10"/>
      <c r="E65" s="10"/>
      <c r="F65" s="10"/>
      <c r="G65" s="11" t="n">
        <v>19000</v>
      </c>
      <c r="H65" s="10" t="s">
        <v>54</v>
      </c>
      <c r="I65" s="10" t="s">
        <v>146</v>
      </c>
      <c r="J65" s="10" t="s">
        <v>256</v>
      </c>
      <c r="K65" s="10" t="s">
        <v>31</v>
      </c>
      <c r="L65" s="10" t="s">
        <v>257</v>
      </c>
      <c r="M65" s="10" t="s">
        <v>150</v>
      </c>
      <c r="N65" s="10"/>
      <c r="O65" s="11"/>
      <c r="P65" s="10" t="n">
        <v>0</v>
      </c>
      <c r="Q65" s="10" t="s">
        <v>141</v>
      </c>
      <c r="R65" s="10"/>
      <c r="S65" s="9" t="s">
        <v>35</v>
      </c>
    </row>
    <row r="66" customFormat="false" ht="15" hidden="false" customHeight="false" outlineLevel="0" collapsed="false">
      <c r="A66" s="7" t="n">
        <v>65</v>
      </c>
      <c r="B66" s="7" t="s">
        <v>258</v>
      </c>
      <c r="C66" s="7" t="s">
        <v>141</v>
      </c>
      <c r="D66" s="7"/>
      <c r="E66" s="7"/>
      <c r="F66" s="7"/>
      <c r="G66" s="8"/>
      <c r="H66" s="7"/>
      <c r="I66" s="7" t="s">
        <v>39</v>
      </c>
      <c r="J66" s="7" t="s">
        <v>259</v>
      </c>
      <c r="K66" s="7" t="s">
        <v>31</v>
      </c>
      <c r="L66" s="7" t="s">
        <v>260</v>
      </c>
      <c r="M66" s="7" t="s">
        <v>33</v>
      </c>
      <c r="N66" s="7" t="s">
        <v>261</v>
      </c>
      <c r="O66" s="8" t="n">
        <v>1430</v>
      </c>
      <c r="P66" s="7" t="n">
        <v>5</v>
      </c>
      <c r="Q66" s="7" t="s">
        <v>34</v>
      </c>
      <c r="R66" s="7" t="s">
        <v>262</v>
      </c>
      <c r="S66" s="9" t="s">
        <v>35</v>
      </c>
    </row>
    <row r="67" customFormat="false" ht="15" hidden="false" customHeight="false" outlineLevel="0" collapsed="false">
      <c r="A67" s="10" t="n">
        <v>66</v>
      </c>
      <c r="B67" s="10" t="s">
        <v>263</v>
      </c>
      <c r="C67" s="10" t="s">
        <v>236</v>
      </c>
      <c r="D67" s="10"/>
      <c r="E67" s="10"/>
      <c r="F67" s="10"/>
      <c r="G67" s="11"/>
      <c r="H67" s="10"/>
      <c r="I67" s="10" t="s">
        <v>264</v>
      </c>
      <c r="J67" s="10" t="s">
        <v>265</v>
      </c>
      <c r="K67" s="10" t="s">
        <v>31</v>
      </c>
      <c r="L67" s="10" t="s">
        <v>266</v>
      </c>
      <c r="M67" s="10" t="s">
        <v>33</v>
      </c>
      <c r="N67" s="10" t="s">
        <v>267</v>
      </c>
      <c r="O67" s="11"/>
      <c r="P67" s="10" t="n">
        <v>0</v>
      </c>
      <c r="Q67" s="10" t="s">
        <v>236</v>
      </c>
      <c r="R67" s="10"/>
      <c r="S67" s="12" t="s">
        <v>63</v>
      </c>
    </row>
    <row r="68" customFormat="false" ht="15" hidden="false" customHeight="false" outlineLevel="0" collapsed="false">
      <c r="A68" s="7" t="n">
        <v>67</v>
      </c>
      <c r="B68" s="7" t="s">
        <v>235</v>
      </c>
      <c r="C68" s="7" t="s">
        <v>236</v>
      </c>
      <c r="D68" s="7"/>
      <c r="E68" s="7"/>
      <c r="F68" s="7"/>
      <c r="G68" s="8"/>
      <c r="H68" s="7"/>
      <c r="I68" s="7" t="s">
        <v>237</v>
      </c>
      <c r="J68" s="7" t="s">
        <v>268</v>
      </c>
      <c r="K68" s="7" t="s">
        <v>31</v>
      </c>
      <c r="L68" s="7" t="s">
        <v>269</v>
      </c>
      <c r="M68" s="7" t="s">
        <v>240</v>
      </c>
      <c r="N68" s="7" t="s">
        <v>241</v>
      </c>
      <c r="O68" s="8"/>
      <c r="P68" s="7" t="n">
        <v>0</v>
      </c>
      <c r="Q68" s="7" t="s">
        <v>236</v>
      </c>
      <c r="R68" s="7"/>
      <c r="S68" s="12" t="s">
        <v>63</v>
      </c>
    </row>
    <row r="69" customFormat="false" ht="15" hidden="false" customHeight="false" outlineLevel="0" collapsed="false">
      <c r="A69" s="10" t="n">
        <v>68</v>
      </c>
      <c r="B69" s="10" t="s">
        <v>235</v>
      </c>
      <c r="C69" s="10" t="s">
        <v>236</v>
      </c>
      <c r="D69" s="10"/>
      <c r="E69" s="10"/>
      <c r="F69" s="10"/>
      <c r="G69" s="11"/>
      <c r="H69" s="10"/>
      <c r="I69" s="10" t="s">
        <v>237</v>
      </c>
      <c r="J69" s="10" t="s">
        <v>270</v>
      </c>
      <c r="K69" s="10" t="s">
        <v>31</v>
      </c>
      <c r="L69" s="10" t="s">
        <v>271</v>
      </c>
      <c r="M69" s="10" t="s">
        <v>240</v>
      </c>
      <c r="N69" s="10" t="s">
        <v>272</v>
      </c>
      <c r="O69" s="11"/>
      <c r="P69" s="10" t="n">
        <v>0</v>
      </c>
      <c r="Q69" s="10" t="s">
        <v>236</v>
      </c>
      <c r="R69" s="10"/>
      <c r="S69" s="12" t="s">
        <v>63</v>
      </c>
    </row>
    <row r="70" customFormat="false" ht="23.85" hidden="false" customHeight="false" outlineLevel="0" collapsed="false">
      <c r="A70" s="7" t="n">
        <v>69</v>
      </c>
      <c r="B70" s="7" t="s">
        <v>273</v>
      </c>
      <c r="C70" s="7" t="s">
        <v>187</v>
      </c>
      <c r="D70" s="7" t="s">
        <v>208</v>
      </c>
      <c r="E70" s="7" t="s">
        <v>274</v>
      </c>
      <c r="F70" s="7" t="s">
        <v>275</v>
      </c>
      <c r="G70" s="8"/>
      <c r="H70" s="7"/>
      <c r="I70" s="7" t="s">
        <v>208</v>
      </c>
      <c r="J70" s="7"/>
      <c r="K70" s="7" t="s">
        <v>215</v>
      </c>
      <c r="L70" s="7"/>
      <c r="M70" s="7"/>
      <c r="N70" s="7"/>
      <c r="O70" s="8"/>
      <c r="P70" s="7" t="n">
        <v>0</v>
      </c>
      <c r="Q70" s="7" t="s">
        <v>34</v>
      </c>
      <c r="R70" s="7"/>
      <c r="S70" s="13" t="s">
        <v>216</v>
      </c>
    </row>
    <row r="71" customFormat="false" ht="23.85" hidden="false" customHeight="false" outlineLevel="0" collapsed="false">
      <c r="A71" s="10" t="n">
        <v>70</v>
      </c>
      <c r="B71" s="10" t="s">
        <v>235</v>
      </c>
      <c r="C71" s="10" t="s">
        <v>236</v>
      </c>
      <c r="D71" s="10"/>
      <c r="E71" s="10"/>
      <c r="F71" s="10"/>
      <c r="G71" s="11" t="n">
        <v>65000</v>
      </c>
      <c r="H71" s="10" t="s">
        <v>54</v>
      </c>
      <c r="I71" s="10" t="s">
        <v>65</v>
      </c>
      <c r="J71" s="10" t="s">
        <v>276</v>
      </c>
      <c r="K71" s="10" t="s">
        <v>31</v>
      </c>
      <c r="L71" s="10" t="s">
        <v>277</v>
      </c>
      <c r="M71" s="10" t="s">
        <v>68</v>
      </c>
      <c r="N71" s="10" t="s">
        <v>278</v>
      </c>
      <c r="O71" s="11"/>
      <c r="P71" s="10" t="n">
        <v>0</v>
      </c>
      <c r="Q71" s="10" t="s">
        <v>236</v>
      </c>
      <c r="R71" s="10"/>
      <c r="S71" s="12" t="s">
        <v>63</v>
      </c>
    </row>
    <row r="72" customFormat="false" ht="23.85" hidden="false" customHeight="false" outlineLevel="0" collapsed="false">
      <c r="A72" s="7" t="n">
        <v>71</v>
      </c>
      <c r="B72" s="7" t="s">
        <v>273</v>
      </c>
      <c r="C72" s="7" t="s">
        <v>187</v>
      </c>
      <c r="D72" s="7" t="s">
        <v>279</v>
      </c>
      <c r="E72" s="7" t="s">
        <v>280</v>
      </c>
      <c r="F72" s="7" t="s">
        <v>275</v>
      </c>
      <c r="G72" s="8"/>
      <c r="H72" s="7"/>
      <c r="I72" s="7" t="s">
        <v>221</v>
      </c>
      <c r="J72" s="7"/>
      <c r="K72" s="7" t="s">
        <v>215</v>
      </c>
      <c r="L72" s="7"/>
      <c r="M72" s="7"/>
      <c r="N72" s="7"/>
      <c r="O72" s="8"/>
      <c r="P72" s="7" t="n">
        <v>0</v>
      </c>
      <c r="Q72" s="7" t="s">
        <v>34</v>
      </c>
      <c r="R72" s="7"/>
      <c r="S72" s="13" t="s">
        <v>216</v>
      </c>
    </row>
    <row r="73" customFormat="false" ht="23.85" hidden="false" customHeight="false" outlineLevel="0" collapsed="false">
      <c r="A73" s="10" t="n">
        <v>72</v>
      </c>
      <c r="B73" s="10" t="s">
        <v>224</v>
      </c>
      <c r="C73" s="10" t="s">
        <v>157</v>
      </c>
      <c r="D73" s="10" t="s">
        <v>281</v>
      </c>
      <c r="E73" s="10" t="s">
        <v>282</v>
      </c>
      <c r="F73" s="10" t="s">
        <v>226</v>
      </c>
      <c r="G73" s="11" t="n">
        <v>10000</v>
      </c>
      <c r="H73" s="10" t="s">
        <v>54</v>
      </c>
      <c r="I73" s="10" t="s">
        <v>281</v>
      </c>
      <c r="J73" s="10"/>
      <c r="K73" s="10" t="s">
        <v>215</v>
      </c>
      <c r="L73" s="10"/>
      <c r="M73" s="10"/>
      <c r="N73" s="10"/>
      <c r="O73" s="11"/>
      <c r="P73" s="10" t="n">
        <v>0</v>
      </c>
      <c r="Q73" s="10" t="s">
        <v>34</v>
      </c>
      <c r="R73" s="10"/>
      <c r="S73" s="13" t="s">
        <v>216</v>
      </c>
    </row>
    <row r="74" customFormat="false" ht="15" hidden="false" customHeight="false" outlineLevel="0" collapsed="false">
      <c r="A74" s="7" t="n">
        <v>73</v>
      </c>
      <c r="B74" s="7" t="s">
        <v>107</v>
      </c>
      <c r="C74" s="7" t="s">
        <v>58</v>
      </c>
      <c r="D74" s="7" t="s">
        <v>39</v>
      </c>
      <c r="E74" s="7" t="s">
        <v>283</v>
      </c>
      <c r="F74" s="7" t="s">
        <v>210</v>
      </c>
      <c r="G74" s="8" t="n">
        <v>3750</v>
      </c>
      <c r="H74" s="7" t="s">
        <v>54</v>
      </c>
      <c r="I74" s="7" t="s">
        <v>39</v>
      </c>
      <c r="J74" s="7" t="s">
        <v>284</v>
      </c>
      <c r="K74" s="7" t="s">
        <v>31</v>
      </c>
      <c r="L74" s="7" t="s">
        <v>285</v>
      </c>
      <c r="M74" s="7" t="s">
        <v>33</v>
      </c>
      <c r="N74" s="7" t="s">
        <v>286</v>
      </c>
      <c r="O74" s="8"/>
      <c r="P74" s="7" t="n">
        <v>0</v>
      </c>
      <c r="Q74" s="7" t="s">
        <v>34</v>
      </c>
      <c r="R74" s="7" t="s">
        <v>287</v>
      </c>
      <c r="S74" s="9" t="s">
        <v>35</v>
      </c>
    </row>
    <row r="75" customFormat="false" ht="15" hidden="false" customHeight="false" outlineLevel="0" collapsed="false">
      <c r="A75" s="10" t="n">
        <v>74</v>
      </c>
      <c r="B75" s="10" t="s">
        <v>107</v>
      </c>
      <c r="C75" s="10" t="s">
        <v>58</v>
      </c>
      <c r="D75" s="10" t="s">
        <v>39</v>
      </c>
      <c r="E75" s="10" t="s">
        <v>288</v>
      </c>
      <c r="F75" s="10" t="s">
        <v>210</v>
      </c>
      <c r="G75" s="11" t="n">
        <v>3750</v>
      </c>
      <c r="H75" s="10" t="s">
        <v>54</v>
      </c>
      <c r="I75" s="10" t="s">
        <v>39</v>
      </c>
      <c r="J75" s="10" t="s">
        <v>289</v>
      </c>
      <c r="K75" s="10" t="s">
        <v>31</v>
      </c>
      <c r="L75" s="10" t="s">
        <v>290</v>
      </c>
      <c r="M75" s="10" t="s">
        <v>33</v>
      </c>
      <c r="N75" s="10" t="s">
        <v>286</v>
      </c>
      <c r="O75" s="11"/>
      <c r="P75" s="10" t="n">
        <v>0</v>
      </c>
      <c r="Q75" s="10" t="s">
        <v>34</v>
      </c>
      <c r="R75" s="10" t="s">
        <v>287</v>
      </c>
      <c r="S75" s="9" t="s">
        <v>35</v>
      </c>
    </row>
    <row r="76" customFormat="false" ht="15" hidden="false" customHeight="false" outlineLevel="0" collapsed="false">
      <c r="A76" s="7" t="n">
        <v>75</v>
      </c>
      <c r="B76" s="7" t="s">
        <v>248</v>
      </c>
      <c r="C76" s="7" t="s">
        <v>141</v>
      </c>
      <c r="D76" s="7"/>
      <c r="E76" s="7"/>
      <c r="F76" s="7"/>
      <c r="G76" s="8" t="n">
        <v>12500</v>
      </c>
      <c r="H76" s="7" t="s">
        <v>54</v>
      </c>
      <c r="I76" s="7" t="s">
        <v>291</v>
      </c>
      <c r="J76" s="7" t="s">
        <v>292</v>
      </c>
      <c r="K76" s="7" t="s">
        <v>31</v>
      </c>
      <c r="L76" s="7" t="s">
        <v>293</v>
      </c>
      <c r="M76" s="7" t="s">
        <v>294</v>
      </c>
      <c r="N76" s="7" t="s">
        <v>295</v>
      </c>
      <c r="O76" s="8" t="n">
        <v>7150</v>
      </c>
      <c r="P76" s="7" t="n">
        <v>0</v>
      </c>
      <c r="Q76" s="7" t="s">
        <v>141</v>
      </c>
      <c r="R76" s="7"/>
      <c r="S76" s="9" t="s">
        <v>35</v>
      </c>
    </row>
    <row r="77" customFormat="false" ht="15" hidden="false" customHeight="false" outlineLevel="0" collapsed="false">
      <c r="A77" s="10" t="n">
        <v>76</v>
      </c>
      <c r="B77" s="10" t="s">
        <v>296</v>
      </c>
      <c r="C77" s="10" t="s">
        <v>58</v>
      </c>
      <c r="D77" s="10"/>
      <c r="E77" s="10"/>
      <c r="F77" s="10"/>
      <c r="G77" s="11"/>
      <c r="H77" s="10"/>
      <c r="I77" s="10" t="s">
        <v>297</v>
      </c>
      <c r="J77" s="10" t="s">
        <v>298</v>
      </c>
      <c r="K77" s="10" t="s">
        <v>49</v>
      </c>
      <c r="L77" s="10"/>
      <c r="M77" s="10"/>
      <c r="N77" s="10"/>
      <c r="O77" s="11"/>
      <c r="P77" s="10" t="n">
        <v>0</v>
      </c>
      <c r="Q77" s="10" t="s">
        <v>58</v>
      </c>
      <c r="R77" s="10"/>
      <c r="S77" s="13" t="s">
        <v>216</v>
      </c>
    </row>
    <row r="78" customFormat="false" ht="15" hidden="false" customHeight="false" outlineLevel="0" collapsed="false">
      <c r="A78" s="7" t="n">
        <v>77</v>
      </c>
      <c r="B78" s="7" t="s">
        <v>296</v>
      </c>
      <c r="C78" s="7" t="s">
        <v>58</v>
      </c>
      <c r="D78" s="7"/>
      <c r="E78" s="7"/>
      <c r="F78" s="7"/>
      <c r="G78" s="8"/>
      <c r="H78" s="7"/>
      <c r="I78" s="7" t="s">
        <v>299</v>
      </c>
      <c r="J78" s="7" t="s">
        <v>300</v>
      </c>
      <c r="K78" s="7" t="s">
        <v>49</v>
      </c>
      <c r="L78" s="7"/>
      <c r="M78" s="7"/>
      <c r="N78" s="7"/>
      <c r="O78" s="8"/>
      <c r="P78" s="7" t="n">
        <v>0</v>
      </c>
      <c r="Q78" s="7" t="s">
        <v>58</v>
      </c>
      <c r="R78" s="7"/>
      <c r="S78" s="13" t="s">
        <v>216</v>
      </c>
    </row>
    <row r="79" customFormat="false" ht="15" hidden="false" customHeight="false" outlineLevel="0" collapsed="false">
      <c r="A79" s="10" t="n">
        <v>78</v>
      </c>
      <c r="B79" s="10" t="s">
        <v>296</v>
      </c>
      <c r="C79" s="10" t="s">
        <v>58</v>
      </c>
      <c r="D79" s="10"/>
      <c r="E79" s="10"/>
      <c r="F79" s="10"/>
      <c r="G79" s="11"/>
      <c r="H79" s="10"/>
      <c r="I79" s="10" t="s">
        <v>301</v>
      </c>
      <c r="J79" s="10" t="s">
        <v>302</v>
      </c>
      <c r="K79" s="10" t="s">
        <v>49</v>
      </c>
      <c r="L79" s="10"/>
      <c r="M79" s="10"/>
      <c r="N79" s="10"/>
      <c r="O79" s="11"/>
      <c r="P79" s="10" t="n">
        <v>0</v>
      </c>
      <c r="Q79" s="10" t="s">
        <v>58</v>
      </c>
      <c r="R79" s="10"/>
      <c r="S79" s="13" t="s">
        <v>216</v>
      </c>
    </row>
    <row r="80" customFormat="false" ht="23.85" hidden="false" customHeight="false" outlineLevel="0" collapsed="false">
      <c r="A80" s="7" t="n">
        <v>79</v>
      </c>
      <c r="B80" s="7" t="s">
        <v>303</v>
      </c>
      <c r="C80" s="7" t="s">
        <v>34</v>
      </c>
      <c r="D80" s="7" t="s">
        <v>65</v>
      </c>
      <c r="E80" s="7" t="s">
        <v>108</v>
      </c>
      <c r="F80" s="7" t="s">
        <v>304</v>
      </c>
      <c r="G80" s="8" t="n">
        <v>72000</v>
      </c>
      <c r="H80" s="7" t="s">
        <v>54</v>
      </c>
      <c r="I80" s="7" t="s">
        <v>65</v>
      </c>
      <c r="J80" s="7" t="s">
        <v>305</v>
      </c>
      <c r="K80" s="7" t="s">
        <v>31</v>
      </c>
      <c r="L80" s="7" t="s">
        <v>306</v>
      </c>
      <c r="M80" s="7" t="s">
        <v>240</v>
      </c>
      <c r="N80" s="7"/>
      <c r="O80" s="8"/>
      <c r="P80" s="7" t="n">
        <v>0</v>
      </c>
      <c r="Q80" s="7" t="s">
        <v>114</v>
      </c>
      <c r="R80" s="7"/>
      <c r="S80" s="9" t="s">
        <v>35</v>
      </c>
    </row>
    <row r="81" customFormat="false" ht="15" hidden="false" customHeight="false" outlineLevel="0" collapsed="false">
      <c r="A81" s="10" t="n">
        <v>80</v>
      </c>
      <c r="B81" s="10" t="s">
        <v>307</v>
      </c>
      <c r="C81" s="10" t="s">
        <v>141</v>
      </c>
      <c r="D81" s="10"/>
      <c r="E81" s="10"/>
      <c r="F81" s="10"/>
      <c r="G81" s="11" t="n">
        <v>9700</v>
      </c>
      <c r="H81" s="10" t="s">
        <v>54</v>
      </c>
      <c r="I81" s="10" t="s">
        <v>308</v>
      </c>
      <c r="J81" s="10" t="s">
        <v>309</v>
      </c>
      <c r="K81" s="10" t="s">
        <v>31</v>
      </c>
      <c r="L81" s="10" t="s">
        <v>310</v>
      </c>
      <c r="M81" s="10" t="s">
        <v>33</v>
      </c>
      <c r="N81" s="10"/>
      <c r="O81" s="11"/>
      <c r="P81" s="10" t="n">
        <v>0</v>
      </c>
      <c r="Q81" s="10" t="s">
        <v>141</v>
      </c>
      <c r="R81" s="10"/>
      <c r="S81" s="9" t="s">
        <v>35</v>
      </c>
    </row>
    <row r="82" customFormat="false" ht="15" hidden="false" customHeight="false" outlineLevel="0" collapsed="false">
      <c r="A82" s="7" t="n">
        <v>81</v>
      </c>
      <c r="B82" s="7" t="s">
        <v>307</v>
      </c>
      <c r="C82" s="7" t="s">
        <v>141</v>
      </c>
      <c r="D82" s="7"/>
      <c r="E82" s="7"/>
      <c r="F82" s="7"/>
      <c r="G82" s="8" t="n">
        <v>14000</v>
      </c>
      <c r="H82" s="7" t="s">
        <v>54</v>
      </c>
      <c r="I82" s="7" t="s">
        <v>98</v>
      </c>
      <c r="J82" s="7" t="s">
        <v>311</v>
      </c>
      <c r="K82" s="7" t="s">
        <v>31</v>
      </c>
      <c r="L82" s="7" t="s">
        <v>312</v>
      </c>
      <c r="M82" s="7" t="s">
        <v>68</v>
      </c>
      <c r="N82" s="7"/>
      <c r="O82" s="8" t="n">
        <v>2370</v>
      </c>
      <c r="P82" s="7" t="n">
        <v>0</v>
      </c>
      <c r="Q82" s="7" t="s">
        <v>141</v>
      </c>
      <c r="R82" s="7"/>
      <c r="S82" s="9" t="s">
        <v>35</v>
      </c>
    </row>
    <row r="83" customFormat="false" ht="23.85" hidden="false" customHeight="false" outlineLevel="0" collapsed="false">
      <c r="A83" s="10" t="n">
        <v>82</v>
      </c>
      <c r="B83" s="10" t="s">
        <v>313</v>
      </c>
      <c r="C83" s="10" t="s">
        <v>220</v>
      </c>
      <c r="D83" s="10" t="s">
        <v>39</v>
      </c>
      <c r="E83" s="10"/>
      <c r="F83" s="10"/>
      <c r="G83" s="11"/>
      <c r="H83" s="10"/>
      <c r="I83" s="10" t="s">
        <v>39</v>
      </c>
      <c r="J83" s="10" t="s">
        <v>314</v>
      </c>
      <c r="K83" s="10" t="s">
        <v>31</v>
      </c>
      <c r="L83" s="10" t="s">
        <v>315</v>
      </c>
      <c r="M83" s="10"/>
      <c r="N83" s="10"/>
      <c r="O83" s="11"/>
      <c r="P83" s="10" t="n">
        <v>0</v>
      </c>
      <c r="Q83" s="10" t="s">
        <v>34</v>
      </c>
      <c r="R83" s="10"/>
      <c r="S83" s="9" t="s">
        <v>35</v>
      </c>
    </row>
    <row r="84" customFormat="false" ht="23.85" hidden="false" customHeight="false" outlineLevel="0" collapsed="false">
      <c r="A84" s="7" t="n">
        <v>83</v>
      </c>
      <c r="B84" s="7" t="s">
        <v>316</v>
      </c>
      <c r="C84" s="7" t="s">
        <v>220</v>
      </c>
      <c r="D84" s="7" t="s">
        <v>181</v>
      </c>
      <c r="E84" s="7" t="s">
        <v>317</v>
      </c>
      <c r="F84" s="7" t="s">
        <v>318</v>
      </c>
      <c r="G84" s="8" t="n">
        <v>8800</v>
      </c>
      <c r="H84" s="7" t="s">
        <v>54</v>
      </c>
      <c r="I84" s="7" t="s">
        <v>181</v>
      </c>
      <c r="J84" s="7" t="s">
        <v>319</v>
      </c>
      <c r="K84" s="7" t="s">
        <v>212</v>
      </c>
      <c r="L84" s="7"/>
      <c r="M84" s="7"/>
      <c r="N84" s="7"/>
      <c r="O84" s="8"/>
      <c r="P84" s="7" t="n">
        <v>0</v>
      </c>
      <c r="Q84" s="7" t="s">
        <v>34</v>
      </c>
      <c r="R84" s="7"/>
      <c r="S84" s="9" t="s">
        <v>35</v>
      </c>
    </row>
    <row r="85" customFormat="false" ht="23.85" hidden="false" customHeight="false" outlineLevel="0" collapsed="false">
      <c r="A85" s="10" t="n">
        <v>84</v>
      </c>
      <c r="B85" s="10" t="s">
        <v>320</v>
      </c>
      <c r="C85" s="10" t="s">
        <v>220</v>
      </c>
      <c r="D85" s="10" t="s">
        <v>321</v>
      </c>
      <c r="E85" s="10" t="s">
        <v>322</v>
      </c>
      <c r="F85" s="10" t="s">
        <v>323</v>
      </c>
      <c r="G85" s="11" t="n">
        <v>7000</v>
      </c>
      <c r="H85" s="10" t="s">
        <v>54</v>
      </c>
      <c r="I85" s="10" t="s">
        <v>321</v>
      </c>
      <c r="J85" s="10"/>
      <c r="K85" s="10" t="s">
        <v>215</v>
      </c>
      <c r="L85" s="10"/>
      <c r="M85" s="10"/>
      <c r="N85" s="10"/>
      <c r="O85" s="11"/>
      <c r="P85" s="10" t="n">
        <v>0</v>
      </c>
      <c r="Q85" s="10" t="s">
        <v>34</v>
      </c>
      <c r="R85" s="10"/>
      <c r="S85" s="13" t="s">
        <v>216</v>
      </c>
    </row>
    <row r="86" customFormat="false" ht="23.85" hidden="false" customHeight="false" outlineLevel="0" collapsed="false">
      <c r="A86" s="7" t="n">
        <v>85</v>
      </c>
      <c r="B86" s="7" t="s">
        <v>324</v>
      </c>
      <c r="C86" s="7" t="s">
        <v>220</v>
      </c>
      <c r="D86" s="7" t="s">
        <v>65</v>
      </c>
      <c r="E86" s="7" t="s">
        <v>325</v>
      </c>
      <c r="F86" s="7" t="s">
        <v>326</v>
      </c>
      <c r="G86" s="8" t="n">
        <v>72000</v>
      </c>
      <c r="H86" s="7" t="s">
        <v>54</v>
      </c>
      <c r="I86" s="7" t="s">
        <v>65</v>
      </c>
      <c r="J86" s="7" t="s">
        <v>327</v>
      </c>
      <c r="K86" s="7" t="s">
        <v>49</v>
      </c>
      <c r="L86" s="7"/>
      <c r="M86" s="7"/>
      <c r="N86" s="7"/>
      <c r="O86" s="8"/>
      <c r="P86" s="7" t="n">
        <v>0</v>
      </c>
      <c r="Q86" s="7" t="s">
        <v>34</v>
      </c>
      <c r="R86" s="7"/>
      <c r="S86" s="13" t="s">
        <v>216</v>
      </c>
    </row>
    <row r="87" customFormat="false" ht="15" hidden="false" customHeight="false" outlineLevel="0" collapsed="false">
      <c r="A87" s="10" t="n">
        <v>86</v>
      </c>
      <c r="B87" s="10" t="s">
        <v>328</v>
      </c>
      <c r="C87" s="10" t="s">
        <v>329</v>
      </c>
      <c r="D87" s="10" t="s">
        <v>123</v>
      </c>
      <c r="E87" s="10" t="s">
        <v>330</v>
      </c>
      <c r="F87" s="10" t="s">
        <v>331</v>
      </c>
      <c r="G87" s="11" t="n">
        <v>8900</v>
      </c>
      <c r="H87" s="10" t="s">
        <v>54</v>
      </c>
      <c r="I87" s="10" t="s">
        <v>76</v>
      </c>
      <c r="J87" s="10" t="s">
        <v>332</v>
      </c>
      <c r="K87" s="10" t="s">
        <v>212</v>
      </c>
      <c r="L87" s="10"/>
      <c r="M87" s="10"/>
      <c r="N87" s="10"/>
      <c r="O87" s="11"/>
      <c r="P87" s="10" t="n">
        <v>0</v>
      </c>
      <c r="Q87" s="10" t="s">
        <v>34</v>
      </c>
      <c r="R87" s="10"/>
      <c r="S87" s="9" t="s">
        <v>35</v>
      </c>
    </row>
    <row r="88" customFormat="false" ht="23.85" hidden="false" customHeight="false" outlineLevel="0" collapsed="false">
      <c r="A88" s="7" t="n">
        <v>87</v>
      </c>
      <c r="B88" s="7" t="s">
        <v>219</v>
      </c>
      <c r="C88" s="7" t="s">
        <v>220</v>
      </c>
      <c r="D88" s="7" t="s">
        <v>123</v>
      </c>
      <c r="E88" s="7" t="s">
        <v>333</v>
      </c>
      <c r="F88" s="7" t="s">
        <v>223</v>
      </c>
      <c r="G88" s="8" t="n">
        <v>12000</v>
      </c>
      <c r="H88" s="7" t="s">
        <v>54</v>
      </c>
      <c r="I88" s="7" t="s">
        <v>123</v>
      </c>
      <c r="J88" s="7" t="s">
        <v>334</v>
      </c>
      <c r="K88" s="7" t="s">
        <v>212</v>
      </c>
      <c r="L88" s="7"/>
      <c r="M88" s="7"/>
      <c r="N88" s="7"/>
      <c r="O88" s="8"/>
      <c r="P88" s="7" t="n">
        <v>0</v>
      </c>
      <c r="Q88" s="7" t="s">
        <v>34</v>
      </c>
      <c r="R88" s="7"/>
      <c r="S88" s="9" t="s">
        <v>35</v>
      </c>
    </row>
    <row r="89" customFormat="false" ht="23.85" hidden="false" customHeight="false" outlineLevel="0" collapsed="false">
      <c r="A89" s="10" t="n">
        <v>88</v>
      </c>
      <c r="B89" s="10" t="s">
        <v>335</v>
      </c>
      <c r="C89" s="10" t="s">
        <v>187</v>
      </c>
      <c r="D89" s="10" t="s">
        <v>98</v>
      </c>
      <c r="E89" s="10" t="s">
        <v>336</v>
      </c>
      <c r="F89" s="10" t="s">
        <v>337</v>
      </c>
      <c r="G89" s="11"/>
      <c r="H89" s="10"/>
      <c r="I89" s="10" t="s">
        <v>98</v>
      </c>
      <c r="J89" s="10" t="s">
        <v>338</v>
      </c>
      <c r="K89" s="10" t="s">
        <v>212</v>
      </c>
      <c r="L89" s="10"/>
      <c r="M89" s="10"/>
      <c r="N89" s="10"/>
      <c r="O89" s="11"/>
      <c r="P89" s="10" t="n">
        <v>0</v>
      </c>
      <c r="Q89" s="10" t="s">
        <v>34</v>
      </c>
      <c r="R89" s="10"/>
      <c r="S89" s="9" t="s">
        <v>35</v>
      </c>
    </row>
    <row r="90" customFormat="false" ht="23.85" hidden="false" customHeight="false" outlineLevel="0" collapsed="false">
      <c r="A90" s="7" t="n">
        <v>89</v>
      </c>
      <c r="B90" s="7" t="s">
        <v>107</v>
      </c>
      <c r="C90" s="7" t="s">
        <v>58</v>
      </c>
      <c r="D90" s="7" t="s">
        <v>225</v>
      </c>
      <c r="E90" s="7" t="s">
        <v>339</v>
      </c>
      <c r="F90" s="7" t="s">
        <v>210</v>
      </c>
      <c r="G90" s="8" t="n">
        <v>8000</v>
      </c>
      <c r="H90" s="7" t="s">
        <v>54</v>
      </c>
      <c r="I90" s="7" t="s">
        <v>225</v>
      </c>
      <c r="J90" s="7"/>
      <c r="K90" s="7" t="s">
        <v>215</v>
      </c>
      <c r="L90" s="7"/>
      <c r="M90" s="7"/>
      <c r="N90" s="7"/>
      <c r="O90" s="8"/>
      <c r="P90" s="7" t="n">
        <v>0</v>
      </c>
      <c r="Q90" s="7" t="s">
        <v>34</v>
      </c>
      <c r="R90" s="7"/>
      <c r="S90" s="13" t="s">
        <v>216</v>
      </c>
    </row>
    <row r="91" customFormat="false" ht="23.85" hidden="false" customHeight="false" outlineLevel="0" collapsed="false">
      <c r="A91" s="10" t="n">
        <v>90</v>
      </c>
      <c r="B91" s="10" t="s">
        <v>328</v>
      </c>
      <c r="C91" s="10" t="s">
        <v>58</v>
      </c>
      <c r="D91" s="10" t="s">
        <v>225</v>
      </c>
      <c r="E91" s="10" t="s">
        <v>340</v>
      </c>
      <c r="F91" s="10" t="s">
        <v>341</v>
      </c>
      <c r="G91" s="11"/>
      <c r="H91" s="10"/>
      <c r="I91" s="10" t="s">
        <v>225</v>
      </c>
      <c r="J91" s="10"/>
      <c r="K91" s="10" t="s">
        <v>215</v>
      </c>
      <c r="L91" s="10"/>
      <c r="M91" s="10"/>
      <c r="N91" s="10"/>
      <c r="O91" s="11"/>
      <c r="P91" s="10" t="n">
        <v>0</v>
      </c>
      <c r="Q91" s="10" t="s">
        <v>34</v>
      </c>
      <c r="R91" s="10"/>
      <c r="S91" s="13" t="s">
        <v>216</v>
      </c>
    </row>
    <row r="92" customFormat="false" ht="15" hidden="false" customHeight="false" outlineLevel="0" collapsed="false">
      <c r="A92" s="7" t="n">
        <v>91</v>
      </c>
      <c r="B92" s="7" t="s">
        <v>342</v>
      </c>
      <c r="C92" s="7" t="s">
        <v>141</v>
      </c>
      <c r="D92" s="7" t="s">
        <v>343</v>
      </c>
      <c r="E92" s="7" t="s">
        <v>344</v>
      </c>
      <c r="F92" s="7" t="s">
        <v>345</v>
      </c>
      <c r="G92" s="8" t="n">
        <v>32000</v>
      </c>
      <c r="H92" s="7" t="s">
        <v>54</v>
      </c>
      <c r="I92" s="7" t="s">
        <v>343</v>
      </c>
      <c r="J92" s="7" t="s">
        <v>346</v>
      </c>
      <c r="K92" s="7" t="s">
        <v>212</v>
      </c>
      <c r="L92" s="7"/>
      <c r="M92" s="7"/>
      <c r="N92" s="7"/>
      <c r="O92" s="8"/>
      <c r="P92" s="7" t="n">
        <v>0</v>
      </c>
      <c r="Q92" s="7" t="s">
        <v>34</v>
      </c>
      <c r="R92" s="7"/>
      <c r="S92" s="9" t="s">
        <v>35</v>
      </c>
    </row>
    <row r="93" customFormat="false" ht="23.85" hidden="false" customHeight="false" outlineLevel="0" collapsed="false">
      <c r="A93" s="10" t="n">
        <v>92</v>
      </c>
      <c r="B93" s="10" t="s">
        <v>347</v>
      </c>
      <c r="C93" s="10" t="s">
        <v>58</v>
      </c>
      <c r="D93" s="10" t="s">
        <v>200</v>
      </c>
      <c r="E93" s="10" t="s">
        <v>348</v>
      </c>
      <c r="F93" s="10" t="s">
        <v>349</v>
      </c>
      <c r="G93" s="11" t="n">
        <v>17500</v>
      </c>
      <c r="H93" s="10" t="s">
        <v>54</v>
      </c>
      <c r="I93" s="10" t="s">
        <v>200</v>
      </c>
      <c r="J93" s="10"/>
      <c r="K93" s="10" t="s">
        <v>215</v>
      </c>
      <c r="L93" s="10"/>
      <c r="M93" s="10"/>
      <c r="N93" s="10"/>
      <c r="O93" s="11"/>
      <c r="P93" s="10" t="n">
        <v>0</v>
      </c>
      <c r="Q93" s="10" t="s">
        <v>34</v>
      </c>
      <c r="R93" s="10"/>
      <c r="S93" s="13" t="s">
        <v>216</v>
      </c>
    </row>
    <row r="94" customFormat="false" ht="23.85" hidden="false" customHeight="false" outlineLevel="0" collapsed="false">
      <c r="A94" s="7" t="n">
        <v>93</v>
      </c>
      <c r="B94" s="7" t="s">
        <v>350</v>
      </c>
      <c r="C94" s="7" t="s">
        <v>220</v>
      </c>
      <c r="D94" s="7" t="s">
        <v>297</v>
      </c>
      <c r="E94" s="7" t="s">
        <v>351</v>
      </c>
      <c r="F94" s="7" t="s">
        <v>352</v>
      </c>
      <c r="G94" s="8"/>
      <c r="H94" s="7"/>
      <c r="I94" s="7" t="s">
        <v>297</v>
      </c>
      <c r="J94" s="7" t="s">
        <v>353</v>
      </c>
      <c r="K94" s="7" t="s">
        <v>212</v>
      </c>
      <c r="L94" s="7"/>
      <c r="M94" s="7"/>
      <c r="N94" s="7"/>
      <c r="O94" s="8"/>
      <c r="P94" s="7" t="n">
        <v>0</v>
      </c>
      <c r="Q94" s="7" t="s">
        <v>34</v>
      </c>
      <c r="R94" s="7"/>
      <c r="S94" s="9" t="s">
        <v>35</v>
      </c>
    </row>
    <row r="95" customFormat="false" ht="23.85" hidden="false" customHeight="false" outlineLevel="0" collapsed="false">
      <c r="A95" s="10" t="n">
        <v>94</v>
      </c>
      <c r="B95" s="10" t="s">
        <v>313</v>
      </c>
      <c r="C95" s="10" t="s">
        <v>220</v>
      </c>
      <c r="D95" s="10" t="s">
        <v>39</v>
      </c>
      <c r="E95" s="10"/>
      <c r="F95" s="10"/>
      <c r="G95" s="11" t="n">
        <v>1500</v>
      </c>
      <c r="H95" s="10" t="s">
        <v>54</v>
      </c>
      <c r="I95" s="10" t="s">
        <v>39</v>
      </c>
      <c r="J95" s="10" t="s">
        <v>354</v>
      </c>
      <c r="K95" s="10" t="s">
        <v>31</v>
      </c>
      <c r="L95" s="10" t="s">
        <v>355</v>
      </c>
      <c r="M95" s="10"/>
      <c r="N95" s="10"/>
      <c r="O95" s="11"/>
      <c r="P95" s="10" t="n">
        <v>0</v>
      </c>
      <c r="Q95" s="10" t="s">
        <v>34</v>
      </c>
      <c r="R95" s="10"/>
      <c r="S95" s="9" t="s">
        <v>35</v>
      </c>
    </row>
    <row r="96" customFormat="false" ht="23.85" hidden="false" customHeight="false" outlineLevel="0" collapsed="false">
      <c r="A96" s="7" t="n">
        <v>95</v>
      </c>
      <c r="B96" s="7" t="s">
        <v>347</v>
      </c>
      <c r="C96" s="7" t="s">
        <v>187</v>
      </c>
      <c r="D96" s="7" t="s">
        <v>356</v>
      </c>
      <c r="E96" s="7" t="s">
        <v>357</v>
      </c>
      <c r="F96" s="7" t="s">
        <v>358</v>
      </c>
      <c r="G96" s="8"/>
      <c r="H96" s="7"/>
      <c r="I96" s="7" t="s">
        <v>356</v>
      </c>
      <c r="J96" s="7"/>
      <c r="K96" s="7" t="s">
        <v>215</v>
      </c>
      <c r="L96" s="7"/>
      <c r="M96" s="7"/>
      <c r="N96" s="7"/>
      <c r="O96" s="8"/>
      <c r="P96" s="7" t="n">
        <v>0</v>
      </c>
      <c r="Q96" s="7" t="s">
        <v>34</v>
      </c>
      <c r="R96" s="7"/>
      <c r="S96" s="13" t="s">
        <v>216</v>
      </c>
    </row>
    <row r="97" customFormat="false" ht="23.85" hidden="false" customHeight="false" outlineLevel="0" collapsed="false">
      <c r="A97" s="10" t="n">
        <v>96</v>
      </c>
      <c r="B97" s="10" t="s">
        <v>359</v>
      </c>
      <c r="C97" s="10" t="s">
        <v>58</v>
      </c>
      <c r="D97" s="10" t="s">
        <v>200</v>
      </c>
      <c r="E97" s="10" t="s">
        <v>360</v>
      </c>
      <c r="F97" s="10" t="s">
        <v>361</v>
      </c>
      <c r="G97" s="11"/>
      <c r="H97" s="10"/>
      <c r="I97" s="10" t="s">
        <v>200</v>
      </c>
      <c r="J97" s="10"/>
      <c r="K97" s="10" t="s">
        <v>215</v>
      </c>
      <c r="L97" s="10"/>
      <c r="M97" s="10"/>
      <c r="N97" s="10"/>
      <c r="O97" s="11"/>
      <c r="P97" s="10" t="n">
        <v>0</v>
      </c>
      <c r="Q97" s="10" t="s">
        <v>34</v>
      </c>
      <c r="R97" s="10"/>
      <c r="S97" s="13" t="s">
        <v>216</v>
      </c>
    </row>
    <row r="98" customFormat="false" ht="23.85" hidden="false" customHeight="false" outlineLevel="0" collapsed="false">
      <c r="A98" s="7" t="n">
        <v>97</v>
      </c>
      <c r="B98" s="7" t="s">
        <v>347</v>
      </c>
      <c r="C98" s="7" t="s">
        <v>187</v>
      </c>
      <c r="D98" s="7" t="s">
        <v>291</v>
      </c>
      <c r="E98" s="7" t="s">
        <v>362</v>
      </c>
      <c r="F98" s="7" t="s">
        <v>358</v>
      </c>
      <c r="G98" s="8" t="n">
        <v>9000</v>
      </c>
      <c r="H98" s="7" t="s">
        <v>54</v>
      </c>
      <c r="I98" s="7" t="s">
        <v>291</v>
      </c>
      <c r="J98" s="7"/>
      <c r="K98" s="7" t="s">
        <v>215</v>
      </c>
      <c r="L98" s="7"/>
      <c r="M98" s="7"/>
      <c r="N98" s="7"/>
      <c r="O98" s="8"/>
      <c r="P98" s="7" t="n">
        <v>0</v>
      </c>
      <c r="Q98" s="7" t="s">
        <v>34</v>
      </c>
      <c r="R98" s="7"/>
      <c r="S98" s="13" t="s">
        <v>216</v>
      </c>
    </row>
    <row r="99" customFormat="false" ht="23.85" hidden="false" customHeight="false" outlineLevel="0" collapsed="false">
      <c r="A99" s="10" t="n">
        <v>98</v>
      </c>
      <c r="B99" s="10" t="s">
        <v>235</v>
      </c>
      <c r="C99" s="10" t="s">
        <v>236</v>
      </c>
      <c r="D99" s="10"/>
      <c r="E99" s="10"/>
      <c r="F99" s="10"/>
      <c r="G99" s="11"/>
      <c r="H99" s="10"/>
      <c r="I99" s="10" t="s">
        <v>65</v>
      </c>
      <c r="J99" s="10" t="s">
        <v>363</v>
      </c>
      <c r="K99" s="10" t="s">
        <v>31</v>
      </c>
      <c r="L99" s="10" t="s">
        <v>364</v>
      </c>
      <c r="M99" s="10" t="s">
        <v>68</v>
      </c>
      <c r="N99" s="10" t="s">
        <v>365</v>
      </c>
      <c r="O99" s="11"/>
      <c r="P99" s="10" t="n">
        <v>0</v>
      </c>
      <c r="Q99" s="10" t="s">
        <v>236</v>
      </c>
      <c r="R99" s="10" t="s">
        <v>366</v>
      </c>
      <c r="S99" s="9" t="s">
        <v>35</v>
      </c>
    </row>
    <row r="100" customFormat="false" ht="23.85" hidden="false" customHeight="false" outlineLevel="0" collapsed="false">
      <c r="A100" s="7" t="n">
        <v>99</v>
      </c>
      <c r="B100" s="7" t="s">
        <v>367</v>
      </c>
      <c r="C100" s="7" t="s">
        <v>187</v>
      </c>
      <c r="D100" s="7" t="s">
        <v>368</v>
      </c>
      <c r="E100" s="7" t="s">
        <v>369</v>
      </c>
      <c r="F100" s="7" t="s">
        <v>370</v>
      </c>
      <c r="G100" s="8" t="n">
        <v>7000</v>
      </c>
      <c r="H100" s="7" t="s">
        <v>54</v>
      </c>
      <c r="I100" s="7" t="s">
        <v>368</v>
      </c>
      <c r="J100" s="7"/>
      <c r="K100" s="7" t="s">
        <v>215</v>
      </c>
      <c r="L100" s="7"/>
      <c r="M100" s="7"/>
      <c r="N100" s="7"/>
      <c r="O100" s="8"/>
      <c r="P100" s="7" t="n">
        <v>0</v>
      </c>
      <c r="Q100" s="7" t="s">
        <v>34</v>
      </c>
      <c r="R100" s="7"/>
      <c r="S100" s="13" t="s">
        <v>216</v>
      </c>
    </row>
    <row r="101" customFormat="false" ht="15" hidden="false" customHeight="false" outlineLevel="0" collapsed="false">
      <c r="A101" s="10" t="n">
        <v>100</v>
      </c>
      <c r="B101" s="10" t="s">
        <v>328</v>
      </c>
      <c r="C101" s="10" t="s">
        <v>187</v>
      </c>
      <c r="D101" s="10" t="s">
        <v>123</v>
      </c>
      <c r="E101" s="10" t="s">
        <v>371</v>
      </c>
      <c r="F101" s="10"/>
      <c r="G101" s="11"/>
      <c r="H101" s="10"/>
      <c r="I101" s="10" t="s">
        <v>51</v>
      </c>
      <c r="J101" s="10" t="s">
        <v>372</v>
      </c>
      <c r="K101" s="10" t="s">
        <v>212</v>
      </c>
      <c r="L101" s="10"/>
      <c r="M101" s="10"/>
      <c r="N101" s="10"/>
      <c r="O101" s="11"/>
      <c r="P101" s="10" t="n">
        <v>0</v>
      </c>
      <c r="Q101" s="10" t="s">
        <v>34</v>
      </c>
      <c r="R101" s="10"/>
      <c r="S101" s="9" t="s">
        <v>35</v>
      </c>
    </row>
    <row r="102" customFormat="false" ht="15" hidden="false" customHeight="false" outlineLevel="0" collapsed="false">
      <c r="A102" s="7" t="n">
        <v>101</v>
      </c>
      <c r="B102" s="7" t="s">
        <v>27</v>
      </c>
      <c r="C102" s="7" t="s">
        <v>172</v>
      </c>
      <c r="D102" s="7" t="s">
        <v>373</v>
      </c>
      <c r="E102" s="7" t="s">
        <v>374</v>
      </c>
      <c r="F102" s="7" t="s">
        <v>183</v>
      </c>
      <c r="G102" s="8"/>
      <c r="H102" s="7"/>
      <c r="I102" s="7" t="s">
        <v>297</v>
      </c>
      <c r="J102" s="7" t="s">
        <v>375</v>
      </c>
      <c r="K102" s="7" t="s">
        <v>212</v>
      </c>
      <c r="L102" s="7"/>
      <c r="M102" s="7"/>
      <c r="N102" s="7"/>
      <c r="O102" s="8"/>
      <c r="P102" s="7" t="n">
        <v>0</v>
      </c>
      <c r="Q102" s="7" t="s">
        <v>34</v>
      </c>
      <c r="R102" s="7"/>
      <c r="S102" s="9" t="s">
        <v>35</v>
      </c>
    </row>
    <row r="103" customFormat="false" ht="23.85" hidden="false" customHeight="false" outlineLevel="0" collapsed="false">
      <c r="A103" s="10" t="n">
        <v>102</v>
      </c>
      <c r="B103" s="10" t="s">
        <v>335</v>
      </c>
      <c r="C103" s="10" t="s">
        <v>187</v>
      </c>
      <c r="D103" s="10" t="s">
        <v>98</v>
      </c>
      <c r="E103" s="10" t="s">
        <v>336</v>
      </c>
      <c r="F103" s="10" t="s">
        <v>376</v>
      </c>
      <c r="G103" s="11" t="n">
        <v>10000</v>
      </c>
      <c r="H103" s="10" t="s">
        <v>54</v>
      </c>
      <c r="I103" s="10" t="s">
        <v>98</v>
      </c>
      <c r="J103" s="10"/>
      <c r="K103" s="10" t="s">
        <v>215</v>
      </c>
      <c r="L103" s="10"/>
      <c r="M103" s="10"/>
      <c r="N103" s="10"/>
      <c r="O103" s="11"/>
      <c r="P103" s="10" t="n">
        <v>0</v>
      </c>
      <c r="Q103" s="10" t="s">
        <v>34</v>
      </c>
      <c r="R103" s="10"/>
      <c r="S103" s="13" t="s">
        <v>216</v>
      </c>
    </row>
    <row r="104" customFormat="false" ht="23.85" hidden="false" customHeight="false" outlineLevel="0" collapsed="false">
      <c r="A104" s="7" t="n">
        <v>103</v>
      </c>
      <c r="B104" s="7" t="s">
        <v>347</v>
      </c>
      <c r="C104" s="7" t="s">
        <v>187</v>
      </c>
      <c r="D104" s="7" t="s">
        <v>39</v>
      </c>
      <c r="E104" s="7" t="s">
        <v>377</v>
      </c>
      <c r="F104" s="7" t="s">
        <v>358</v>
      </c>
      <c r="G104" s="8"/>
      <c r="H104" s="7"/>
      <c r="I104" s="7" t="s">
        <v>39</v>
      </c>
      <c r="J104" s="7"/>
      <c r="K104" s="7" t="s">
        <v>215</v>
      </c>
      <c r="L104" s="7"/>
      <c r="M104" s="7"/>
      <c r="N104" s="7"/>
      <c r="O104" s="8"/>
      <c r="P104" s="7" t="n">
        <v>0</v>
      </c>
      <c r="Q104" s="7" t="s">
        <v>34</v>
      </c>
      <c r="R104" s="7"/>
      <c r="S104" s="13" t="s">
        <v>216</v>
      </c>
    </row>
    <row r="105" customFormat="false" ht="15" hidden="false" customHeight="false" outlineLevel="0" collapsed="false">
      <c r="A105" s="10" t="n">
        <v>104</v>
      </c>
      <c r="B105" s="10" t="s">
        <v>342</v>
      </c>
      <c r="C105" s="10" t="s">
        <v>141</v>
      </c>
      <c r="D105" s="10"/>
      <c r="E105" s="10"/>
      <c r="F105" s="10"/>
      <c r="G105" s="11"/>
      <c r="H105" s="10"/>
      <c r="I105" s="10" t="s">
        <v>378</v>
      </c>
      <c r="J105" s="10" t="s">
        <v>379</v>
      </c>
      <c r="K105" s="10" t="s">
        <v>31</v>
      </c>
      <c r="L105" s="10" t="s">
        <v>380</v>
      </c>
      <c r="M105" s="10" t="s">
        <v>381</v>
      </c>
      <c r="N105" s="10"/>
      <c r="O105" s="11"/>
      <c r="P105" s="10" t="n">
        <v>0</v>
      </c>
      <c r="Q105" s="10"/>
      <c r="R105" s="10"/>
      <c r="S105" s="12" t="s">
        <v>63</v>
      </c>
    </row>
    <row r="106" customFormat="false" ht="23.85" hidden="false" customHeight="false" outlineLevel="0" collapsed="false">
      <c r="A106" s="7" t="n">
        <v>105</v>
      </c>
      <c r="B106" s="7" t="s">
        <v>382</v>
      </c>
      <c r="C106" s="7" t="s">
        <v>187</v>
      </c>
      <c r="D106" s="7"/>
      <c r="E106" s="7"/>
      <c r="F106" s="7"/>
      <c r="G106" s="8"/>
      <c r="H106" s="7"/>
      <c r="I106" s="7" t="s">
        <v>65</v>
      </c>
      <c r="J106" s="7" t="s">
        <v>383</v>
      </c>
      <c r="K106" s="7" t="s">
        <v>384</v>
      </c>
      <c r="L106" s="7"/>
      <c r="M106" s="7" t="s">
        <v>68</v>
      </c>
      <c r="N106" s="7"/>
      <c r="O106" s="8"/>
      <c r="P106" s="7" t="n">
        <v>0</v>
      </c>
      <c r="Q106" s="7" t="s">
        <v>187</v>
      </c>
      <c r="R106" s="7"/>
      <c r="S106" s="12" t="s">
        <v>63</v>
      </c>
    </row>
    <row r="107" customFormat="false" ht="15" hidden="false" customHeight="false" outlineLevel="0" collapsed="false">
      <c r="A107" s="10" t="n">
        <v>106</v>
      </c>
      <c r="B107" s="10" t="s">
        <v>342</v>
      </c>
      <c r="C107" s="10" t="s">
        <v>141</v>
      </c>
      <c r="D107" s="10"/>
      <c r="E107" s="10"/>
      <c r="F107" s="10"/>
      <c r="G107" s="11"/>
      <c r="H107" s="10"/>
      <c r="I107" s="10" t="s">
        <v>225</v>
      </c>
      <c r="J107" s="10" t="s">
        <v>385</v>
      </c>
      <c r="K107" s="10" t="s">
        <v>31</v>
      </c>
      <c r="L107" s="10" t="s">
        <v>386</v>
      </c>
      <c r="M107" s="10" t="s">
        <v>387</v>
      </c>
      <c r="N107" s="10"/>
      <c r="O107" s="11"/>
      <c r="P107" s="10" t="n">
        <v>0</v>
      </c>
      <c r="Q107" s="10"/>
      <c r="R107" s="10"/>
      <c r="S107" s="12" t="s">
        <v>63</v>
      </c>
    </row>
    <row r="108" customFormat="false" ht="23.85" hidden="false" customHeight="false" outlineLevel="0" collapsed="false">
      <c r="A108" s="7" t="n">
        <v>107</v>
      </c>
      <c r="B108" s="7" t="s">
        <v>347</v>
      </c>
      <c r="C108" s="7" t="s">
        <v>187</v>
      </c>
      <c r="D108" s="7" t="s">
        <v>39</v>
      </c>
      <c r="E108" s="7" t="s">
        <v>388</v>
      </c>
      <c r="F108" s="7" t="s">
        <v>358</v>
      </c>
      <c r="G108" s="8"/>
      <c r="H108" s="7"/>
      <c r="I108" s="7" t="s">
        <v>39</v>
      </c>
      <c r="J108" s="7"/>
      <c r="K108" s="7" t="s">
        <v>215</v>
      </c>
      <c r="L108" s="7"/>
      <c r="M108" s="7"/>
      <c r="N108" s="7"/>
      <c r="O108" s="8"/>
      <c r="P108" s="7" t="n">
        <v>0</v>
      </c>
      <c r="Q108" s="7" t="s">
        <v>34</v>
      </c>
      <c r="R108" s="7"/>
      <c r="S108" s="13" t="s">
        <v>216</v>
      </c>
    </row>
    <row r="109" customFormat="false" ht="23.85" hidden="false" customHeight="false" outlineLevel="0" collapsed="false">
      <c r="A109" s="10" t="n">
        <v>108</v>
      </c>
      <c r="B109" s="10" t="s">
        <v>389</v>
      </c>
      <c r="C109" s="10" t="s">
        <v>187</v>
      </c>
      <c r="D109" s="10" t="s">
        <v>390</v>
      </c>
      <c r="E109" s="10" t="s">
        <v>391</v>
      </c>
      <c r="F109" s="10" t="s">
        <v>392</v>
      </c>
      <c r="G109" s="11" t="n">
        <v>4500</v>
      </c>
      <c r="H109" s="10" t="s">
        <v>54</v>
      </c>
      <c r="I109" s="10" t="s">
        <v>390</v>
      </c>
      <c r="J109" s="10"/>
      <c r="K109" s="10" t="s">
        <v>215</v>
      </c>
      <c r="L109" s="10"/>
      <c r="M109" s="10"/>
      <c r="N109" s="10"/>
      <c r="O109" s="11"/>
      <c r="P109" s="10" t="n">
        <v>0</v>
      </c>
      <c r="Q109" s="10" t="s">
        <v>34</v>
      </c>
      <c r="R109" s="10"/>
      <c r="S109" s="13" t="s">
        <v>216</v>
      </c>
    </row>
    <row r="110" customFormat="false" ht="23.85" hidden="false" customHeight="false" outlineLevel="0" collapsed="false">
      <c r="A110" s="7" t="n">
        <v>109</v>
      </c>
      <c r="B110" s="7" t="s">
        <v>393</v>
      </c>
      <c r="C110" s="7" t="s">
        <v>187</v>
      </c>
      <c r="D110" s="7" t="s">
        <v>225</v>
      </c>
      <c r="E110" s="7" t="s">
        <v>394</v>
      </c>
      <c r="F110" s="7" t="s">
        <v>395</v>
      </c>
      <c r="G110" s="8"/>
      <c r="H110" s="7"/>
      <c r="I110" s="7" t="s">
        <v>225</v>
      </c>
      <c r="J110" s="7"/>
      <c r="K110" s="7" t="s">
        <v>215</v>
      </c>
      <c r="L110" s="7"/>
      <c r="M110" s="7"/>
      <c r="N110" s="7"/>
      <c r="O110" s="8"/>
      <c r="P110" s="7" t="n">
        <v>0</v>
      </c>
      <c r="Q110" s="7" t="s">
        <v>34</v>
      </c>
      <c r="R110" s="7"/>
      <c r="S110" s="13" t="s">
        <v>216</v>
      </c>
    </row>
    <row r="111" customFormat="false" ht="23.85" hidden="false" customHeight="false" outlineLevel="0" collapsed="false">
      <c r="A111" s="10" t="n">
        <v>110</v>
      </c>
      <c r="B111" s="10" t="s">
        <v>393</v>
      </c>
      <c r="C111" s="10" t="s">
        <v>187</v>
      </c>
      <c r="D111" s="10" t="s">
        <v>181</v>
      </c>
      <c r="E111" s="10" t="s">
        <v>396</v>
      </c>
      <c r="F111" s="10" t="s">
        <v>395</v>
      </c>
      <c r="G111" s="11"/>
      <c r="H111" s="10"/>
      <c r="I111" s="10" t="s">
        <v>181</v>
      </c>
      <c r="J111" s="10"/>
      <c r="K111" s="10" t="s">
        <v>215</v>
      </c>
      <c r="L111" s="10"/>
      <c r="M111" s="10"/>
      <c r="N111" s="10"/>
      <c r="O111" s="11"/>
      <c r="P111" s="10" t="n">
        <v>0</v>
      </c>
      <c r="Q111" s="10" t="s">
        <v>34</v>
      </c>
      <c r="R111" s="10"/>
      <c r="S111" s="13" t="s">
        <v>216</v>
      </c>
    </row>
    <row r="112" customFormat="false" ht="23.85" hidden="false" customHeight="false" outlineLevel="0" collapsed="false">
      <c r="A112" s="7" t="n">
        <v>111</v>
      </c>
      <c r="B112" s="7" t="s">
        <v>347</v>
      </c>
      <c r="C112" s="7" t="s">
        <v>187</v>
      </c>
      <c r="D112" s="7" t="s">
        <v>397</v>
      </c>
      <c r="E112" s="7" t="s">
        <v>398</v>
      </c>
      <c r="F112" s="7" t="s">
        <v>358</v>
      </c>
      <c r="G112" s="8"/>
      <c r="H112" s="7"/>
      <c r="I112" s="7" t="s">
        <v>397</v>
      </c>
      <c r="J112" s="7"/>
      <c r="K112" s="7" t="s">
        <v>215</v>
      </c>
      <c r="L112" s="7"/>
      <c r="M112" s="7"/>
      <c r="N112" s="7"/>
      <c r="O112" s="8"/>
      <c r="P112" s="7" t="n">
        <v>0</v>
      </c>
      <c r="Q112" s="7" t="s">
        <v>34</v>
      </c>
      <c r="R112" s="7"/>
      <c r="S112" s="13" t="s">
        <v>216</v>
      </c>
    </row>
    <row r="113" customFormat="false" ht="15" hidden="false" customHeight="false" outlineLevel="0" collapsed="false">
      <c r="A113" s="10" t="n">
        <v>112</v>
      </c>
      <c r="B113" s="10" t="s">
        <v>342</v>
      </c>
      <c r="C113" s="10" t="s">
        <v>141</v>
      </c>
      <c r="D113" s="10"/>
      <c r="E113" s="10"/>
      <c r="F113" s="10"/>
      <c r="G113" s="11"/>
      <c r="H113" s="10"/>
      <c r="I113" s="10" t="s">
        <v>399</v>
      </c>
      <c r="J113" s="10" t="s">
        <v>400</v>
      </c>
      <c r="K113" s="10" t="s">
        <v>31</v>
      </c>
      <c r="L113" s="10" t="s">
        <v>401</v>
      </c>
      <c r="M113" s="10" t="s">
        <v>402</v>
      </c>
      <c r="N113" s="10"/>
      <c r="O113" s="11"/>
      <c r="P113" s="10" t="n">
        <v>0</v>
      </c>
      <c r="Q113" s="10"/>
      <c r="R113" s="10"/>
      <c r="S113" s="12" t="s">
        <v>63</v>
      </c>
    </row>
    <row r="114" customFormat="false" ht="23.85" hidden="false" customHeight="false" outlineLevel="0" collapsed="false">
      <c r="A114" s="7" t="n">
        <v>113</v>
      </c>
      <c r="B114" s="7" t="s">
        <v>347</v>
      </c>
      <c r="C114" s="7" t="s">
        <v>187</v>
      </c>
      <c r="D114" s="7" t="s">
        <v>403</v>
      </c>
      <c r="E114" s="7" t="s">
        <v>404</v>
      </c>
      <c r="F114" s="7" t="s">
        <v>358</v>
      </c>
      <c r="G114" s="8"/>
      <c r="H114" s="7"/>
      <c r="I114" s="7" t="s">
        <v>403</v>
      </c>
      <c r="J114" s="7"/>
      <c r="K114" s="7" t="s">
        <v>215</v>
      </c>
      <c r="L114" s="7"/>
      <c r="M114" s="7"/>
      <c r="N114" s="7"/>
      <c r="O114" s="8"/>
      <c r="P114" s="7" t="n">
        <v>0</v>
      </c>
      <c r="Q114" s="7" t="s">
        <v>34</v>
      </c>
      <c r="R114" s="7"/>
      <c r="S114" s="13" t="s">
        <v>216</v>
      </c>
    </row>
    <row r="115" customFormat="false" ht="23.85" hidden="false" customHeight="false" outlineLevel="0" collapsed="false">
      <c r="A115" s="10" t="n">
        <v>114</v>
      </c>
      <c r="B115" s="10" t="s">
        <v>389</v>
      </c>
      <c r="C115" s="10" t="s">
        <v>187</v>
      </c>
      <c r="D115" s="10" t="s">
        <v>356</v>
      </c>
      <c r="E115" s="10" t="s">
        <v>405</v>
      </c>
      <c r="F115" s="10" t="s">
        <v>392</v>
      </c>
      <c r="G115" s="11" t="n">
        <v>5100</v>
      </c>
      <c r="H115" s="10" t="s">
        <v>54</v>
      </c>
      <c r="I115" s="10" t="s">
        <v>356</v>
      </c>
      <c r="J115" s="10"/>
      <c r="K115" s="10" t="s">
        <v>215</v>
      </c>
      <c r="L115" s="10"/>
      <c r="M115" s="10"/>
      <c r="N115" s="10"/>
      <c r="O115" s="11"/>
      <c r="P115" s="10" t="n">
        <v>0</v>
      </c>
      <c r="Q115" s="10" t="s">
        <v>34</v>
      </c>
      <c r="R115" s="10"/>
      <c r="S115" s="13" t="s">
        <v>216</v>
      </c>
    </row>
  </sheetData>
  <autoFilter ref="A1:S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2026-06-12T19:26:34Z</dcterms:created>
  <dc:creator>openpyxl</dc:creator>
  <dc:description/>
  <dc:language>en-US</dc:language>
  <cp:lastModifiedBy/>
  <dcterms:modified xsi:type="dcterms:W3CDTF">2026-06-12T19:26:34Z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